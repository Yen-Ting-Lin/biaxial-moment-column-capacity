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:\我的雲端硬碟\RC-USD\"/>
    </mc:Choice>
  </mc:AlternateContent>
  <xr:revisionPtr revIDLastSave="0" documentId="13_ncr:1_{CC189485-39A5-4466-8EAC-C4A2F9034BFA}" xr6:coauthVersionLast="47" xr6:coauthVersionMax="47" xr10:uidLastSave="{00000000-0000-0000-0000-000000000000}"/>
  <bookViews>
    <workbookView xWindow="-120" yWindow="-120" windowWidth="29040" windowHeight="15840" tabRatio="433" xr2:uid="{00000000-000D-0000-FFFF-FFFF00000000}"/>
  </bookViews>
  <sheets>
    <sheet name="對的示範例1" sheetId="15" r:id="rId1"/>
    <sheet name="對的示範例2" sheetId="16" r:id="rId2"/>
    <sheet name="對的示範例3" sheetId="17" r:id="rId3"/>
  </sheets>
  <functionGroups builtInGroupCount="19"/>
  <definedNames>
    <definedName name="Ec" localSheetId="0">對的示範例1!#REF!</definedName>
    <definedName name="Ec" localSheetId="1">對的示範例2!#REF!</definedName>
    <definedName name="Ec" localSheetId="2">對的示範例3!#REF!</definedName>
    <definedName name="Ec">#REF!</definedName>
    <definedName name="fc" localSheetId="0">對的示範例1!#REF!</definedName>
    <definedName name="fc" localSheetId="1">對的示範例2!#REF!</definedName>
    <definedName name="fc" localSheetId="2">對的示範例3!#REF!</definedName>
    <definedName name="fc">#REF!</definedName>
    <definedName name="fyh" localSheetId="0">對的示範例1!#REF!</definedName>
    <definedName name="fyh" localSheetId="1">對的示範例2!#REF!</definedName>
    <definedName name="fyh" localSheetId="2">對的示範例3!#REF!</definedName>
    <definedName name="fyh">#REF!</definedName>
    <definedName name="fyr" localSheetId="0">對的示範例1!#REF!</definedName>
    <definedName name="fyr" localSheetId="1">對的示範例2!#REF!</definedName>
    <definedName name="fyr" localSheetId="2">對的示範例3!#REF!</definedName>
    <definedName name="fyr">#REF!</definedName>
    <definedName name="_xlnm.Print_Area" localSheetId="0">對的示範例1!$A$1:$Z$47</definedName>
    <definedName name="_xlnm.Print_Area" localSheetId="1">對的示範例2!$A$1:$Z$47</definedName>
    <definedName name="_xlnm.Print_Area" localSheetId="2">對的示範例3!$A$1:$Z$47</definedName>
    <definedName name="q" localSheetId="0">對的示範例1!#REF!</definedName>
    <definedName name="q" localSheetId="1">對的示範例2!#REF!</definedName>
    <definedName name="q" localSheetId="2">對的示範例3!#REF!</definedName>
    <definedName name="q">#REF!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7" l="1"/>
  <c r="H16" i="17"/>
  <c r="H16" i="16"/>
  <c r="I6" i="15"/>
  <c r="I5" i="15"/>
  <c r="H5" i="15"/>
  <c r="I4" i="15"/>
  <c r="H4" i="15"/>
  <c r="I3" i="15"/>
  <c r="H3" i="15"/>
  <c r="I2" i="15"/>
  <c r="H2" i="15"/>
  <c r="H6" i="15" s="1"/>
  <c r="H16" i="15"/>
  <c r="I16" i="15"/>
  <c r="I16" i="17"/>
  <c r="M13" i="17"/>
  <c r="J6" i="17"/>
  <c r="H6" i="17"/>
  <c r="J5" i="17"/>
  <c r="I5" i="17"/>
  <c r="H5" i="17"/>
  <c r="J4" i="17"/>
  <c r="I4" i="17"/>
  <c r="H4" i="17"/>
  <c r="J3" i="17"/>
  <c r="I3" i="17"/>
  <c r="H3" i="17"/>
  <c r="J2" i="17"/>
  <c r="I2" i="17"/>
  <c r="I6" i="17" s="1"/>
  <c r="H2" i="17"/>
  <c r="I16" i="16"/>
  <c r="M13" i="16"/>
  <c r="J6" i="16"/>
  <c r="J5" i="16"/>
  <c r="I5" i="16"/>
  <c r="H5" i="16"/>
  <c r="J4" i="16"/>
  <c r="I4" i="16"/>
  <c r="H4" i="16"/>
  <c r="J3" i="16"/>
  <c r="I3" i="16"/>
  <c r="H3" i="16"/>
  <c r="J2" i="16"/>
  <c r="I2" i="16"/>
  <c r="I6" i="16" s="1"/>
  <c r="H2" i="16"/>
  <c r="H6" i="16" s="1"/>
  <c r="E16" i="15"/>
  <c r="K2" i="15" a="1"/>
  <c r="O16" i="15" a="1"/>
  <c r="O16" i="16" a="1"/>
  <c r="M16" i="16" a="1"/>
  <c r="O16" i="17" a="1"/>
  <c r="M16" i="17" a="1"/>
  <c r="J16" i="15" a="1"/>
  <c r="J16" i="17" a="1"/>
  <c r="F16" i="16" a="1"/>
  <c r="F16" i="15" a="1"/>
  <c r="K2" i="17" a="1"/>
  <c r="K2" i="16" a="1"/>
  <c r="J16" i="16" a="1"/>
  <c r="F16" i="17" a="1"/>
  <c r="F16" i="17" l="1"/>
  <c r="F16" i="15"/>
  <c r="F16" i="16"/>
  <c r="K2" i="16"/>
  <c r="J16" i="16"/>
  <c r="J16" i="15"/>
  <c r="K2" i="15"/>
  <c r="O16" i="15"/>
  <c r="K2" i="17"/>
  <c r="J20" i="17"/>
  <c r="K24" i="17"/>
  <c r="J24" i="17"/>
  <c r="J16" i="17"/>
  <c r="K21" i="17"/>
  <c r="J21" i="17"/>
  <c r="K23" i="17"/>
  <c r="J23" i="17"/>
  <c r="K20" i="17"/>
  <c r="M16" i="17"/>
  <c r="O16" i="17"/>
  <c r="O16" i="16"/>
  <c r="J20" i="16"/>
  <c r="J24" i="16"/>
  <c r="K21" i="16"/>
  <c r="J21" i="16"/>
  <c r="K23" i="16"/>
  <c r="K20" i="16"/>
  <c r="J23" i="16"/>
  <c r="K24" i="16"/>
  <c r="M16" i="16"/>
  <c r="M13" i="15"/>
  <c r="J3" i="15"/>
  <c r="J4" i="15"/>
  <c r="J5" i="15"/>
  <c r="J6" i="15"/>
  <c r="J2" i="15"/>
  <c r="M16" i="15" a="1"/>
  <c r="Q16" i="17" a="1"/>
  <c r="Q16" i="16" a="1"/>
  <c r="Q16" i="17" l="1"/>
  <c r="Q24" i="17"/>
  <c r="Q22" i="17"/>
  <c r="Q23" i="17" s="1"/>
  <c r="J22" i="17"/>
  <c r="Y19" i="17"/>
  <c r="J19" i="17"/>
  <c r="Q25" i="17"/>
  <c r="J25" i="17"/>
  <c r="Q16" i="16"/>
  <c r="Q24" i="16"/>
  <c r="J22" i="16"/>
  <c r="J19" i="16"/>
  <c r="Q25" i="16"/>
  <c r="J25" i="16"/>
  <c r="Q22" i="16"/>
  <c r="Q23" i="16" s="1"/>
  <c r="M16" i="15"/>
  <c r="U16" i="16" a="1"/>
  <c r="U16" i="17" a="1"/>
  <c r="S16" i="16" a="1"/>
  <c r="S16" i="17" a="1"/>
  <c r="Y33" i="17" l="1"/>
  <c r="Y28" i="17"/>
  <c r="Y25" i="17"/>
  <c r="Y35" i="17"/>
  <c r="Y22" i="17"/>
  <c r="Y23" i="17"/>
  <c r="Y30" i="17"/>
  <c r="Y29" i="17"/>
  <c r="Y31" i="17"/>
  <c r="Y34" i="17"/>
  <c r="Y27" i="17"/>
  <c r="Y24" i="17"/>
  <c r="Y26" i="17"/>
  <c r="Y32" i="17"/>
  <c r="Y53" i="17"/>
  <c r="Y40" i="17"/>
  <c r="Y42" i="17"/>
  <c r="Y43" i="17"/>
  <c r="Y52" i="17"/>
  <c r="Y48" i="17"/>
  <c r="Y37" i="17"/>
  <c r="Y41" i="17"/>
  <c r="Y44" i="17"/>
  <c r="Y49" i="17"/>
  <c r="Y47" i="17"/>
  <c r="Y38" i="17"/>
  <c r="U16" i="17"/>
  <c r="Y39" i="17"/>
  <c r="Y45" i="17"/>
  <c r="Y50" i="17"/>
  <c r="Y46" i="17"/>
  <c r="Y51" i="17"/>
  <c r="Y36" i="17"/>
  <c r="W22" i="17"/>
  <c r="X47" i="17"/>
  <c r="X39" i="17"/>
  <c r="X27" i="17"/>
  <c r="X46" i="17"/>
  <c r="X42" i="17"/>
  <c r="X38" i="17"/>
  <c r="X34" i="17"/>
  <c r="X30" i="17"/>
  <c r="X26" i="17"/>
  <c r="W46" i="17"/>
  <c r="W42" i="17"/>
  <c r="W38" i="17"/>
  <c r="W34" i="17"/>
  <c r="W30" i="17"/>
  <c r="W26" i="17"/>
  <c r="X19" i="17"/>
  <c r="X16" i="17"/>
  <c r="X45" i="17"/>
  <c r="X41" i="17"/>
  <c r="X37" i="17"/>
  <c r="X33" i="17"/>
  <c r="X29" i="17"/>
  <c r="X25" i="17"/>
  <c r="X23" i="17"/>
  <c r="X21" i="17"/>
  <c r="W19" i="17"/>
  <c r="W45" i="17"/>
  <c r="W41" i="17"/>
  <c r="W37" i="17"/>
  <c r="W33" i="17"/>
  <c r="W29" i="17"/>
  <c r="W25" i="17"/>
  <c r="W23" i="17"/>
  <c r="W21" i="17"/>
  <c r="X20" i="17"/>
  <c r="X24" i="17"/>
  <c r="W20" i="17"/>
  <c r="X35" i="17"/>
  <c r="W17" i="17"/>
  <c r="X44" i="17"/>
  <c r="X40" i="17"/>
  <c r="X36" i="17"/>
  <c r="X32" i="17"/>
  <c r="X28" i="17"/>
  <c r="X18" i="17"/>
  <c r="S16" i="17"/>
  <c r="X43" i="17"/>
  <c r="X31" i="17"/>
  <c r="W24" i="17"/>
  <c r="W44" i="17"/>
  <c r="W40" i="17"/>
  <c r="W36" i="17"/>
  <c r="W32" i="17"/>
  <c r="W28" i="17"/>
  <c r="W18" i="17"/>
  <c r="X17" i="17"/>
  <c r="W47" i="17"/>
  <c r="W43" i="17"/>
  <c r="W39" i="17"/>
  <c r="W35" i="17"/>
  <c r="W31" i="17"/>
  <c r="W27" i="17"/>
  <c r="X22" i="17"/>
  <c r="Q20" i="17"/>
  <c r="Y21" i="17"/>
  <c r="U16" i="16"/>
  <c r="W22" i="16"/>
  <c r="W17" i="16"/>
  <c r="X26" i="16"/>
  <c r="X37" i="16"/>
  <c r="X29" i="16"/>
  <c r="W19" i="16"/>
  <c r="W46" i="16"/>
  <c r="W42" i="16"/>
  <c r="W38" i="16"/>
  <c r="W34" i="16"/>
  <c r="W30" i="16"/>
  <c r="W26" i="16"/>
  <c r="X45" i="16"/>
  <c r="X19" i="16"/>
  <c r="X41" i="16"/>
  <c r="W45" i="16"/>
  <c r="W41" i="16"/>
  <c r="W37" i="16"/>
  <c r="W33" i="16"/>
  <c r="W29" i="16"/>
  <c r="W25" i="16"/>
  <c r="W23" i="16"/>
  <c r="W21" i="16"/>
  <c r="X16" i="16"/>
  <c r="X44" i="16"/>
  <c r="X40" i="16"/>
  <c r="X36" i="16"/>
  <c r="X32" i="16"/>
  <c r="X28" i="16"/>
  <c r="W39" i="16"/>
  <c r="X22" i="16"/>
  <c r="X38" i="16"/>
  <c r="X30" i="16"/>
  <c r="X21" i="16"/>
  <c r="W44" i="16"/>
  <c r="W40" i="16"/>
  <c r="W36" i="16"/>
  <c r="W32" i="16"/>
  <c r="W28" i="16"/>
  <c r="X20" i="16"/>
  <c r="X18" i="16"/>
  <c r="W47" i="16"/>
  <c r="W35" i="16"/>
  <c r="W31" i="16"/>
  <c r="X33" i="16"/>
  <c r="X23" i="16"/>
  <c r="X24" i="16"/>
  <c r="W20" i="16"/>
  <c r="W18" i="16"/>
  <c r="S16" i="16"/>
  <c r="X42" i="16"/>
  <c r="X25" i="16"/>
  <c r="X47" i="16"/>
  <c r="X43" i="16"/>
  <c r="X39" i="16"/>
  <c r="X35" i="16"/>
  <c r="X31" i="16"/>
  <c r="X27" i="16"/>
  <c r="W24" i="16"/>
  <c r="W43" i="16"/>
  <c r="W27" i="16"/>
  <c r="X17" i="16"/>
  <c r="X46" i="16"/>
  <c r="X34" i="16"/>
  <c r="Q20" i="16"/>
  <c r="J24" i="15"/>
  <c r="K24" i="15"/>
  <c r="J23" i="15"/>
  <c r="K23" i="15"/>
  <c r="K21" i="15"/>
  <c r="J21" i="15"/>
  <c r="K20" i="15"/>
  <c r="Y19" i="15"/>
  <c r="J20" i="15"/>
  <c r="Y16" i="17" a="1"/>
  <c r="Z16" i="16" a="1"/>
  <c r="U16" i="15" a="1"/>
  <c r="Y16" i="16" a="1"/>
  <c r="S16" i="15" a="1"/>
  <c r="Q16" i="15" a="1"/>
  <c r="Z16" i="17" a="1"/>
  <c r="W16" i="17" l="1"/>
  <c r="W16" i="16"/>
  <c r="Z18" i="17"/>
  <c r="Z19" i="17" s="1"/>
  <c r="AA22" i="17" s="1"/>
  <c r="Y55" i="17"/>
  <c r="Y16" i="17"/>
  <c r="Z16" i="17"/>
  <c r="R23" i="17"/>
  <c r="R24" i="17"/>
  <c r="Y16" i="16"/>
  <c r="Z16" i="16"/>
  <c r="R23" i="16"/>
  <c r="R24" i="16"/>
  <c r="Y31" i="15"/>
  <c r="Y30" i="15"/>
  <c r="Y32" i="15"/>
  <c r="Y44" i="15"/>
  <c r="Y38" i="15"/>
  <c r="Y42" i="15"/>
  <c r="Y40" i="15"/>
  <c r="Y43" i="15"/>
  <c r="Y50" i="15"/>
  <c r="Y35" i="15"/>
  <c r="Y41" i="15"/>
  <c r="Y52" i="15"/>
  <c r="Y39" i="15"/>
  <c r="Y34" i="15"/>
  <c r="Y36" i="15"/>
  <c r="Y51" i="15"/>
  <c r="Y45" i="15"/>
  <c r="Y53" i="15"/>
  <c r="Y47" i="15"/>
  <c r="Y48" i="15"/>
  <c r="Y46" i="15"/>
  <c r="Y49" i="15"/>
  <c r="Y37" i="15"/>
  <c r="Y33" i="15"/>
  <c r="Y26" i="15"/>
  <c r="Y22" i="15"/>
  <c r="Y23" i="15"/>
  <c r="Y25" i="15"/>
  <c r="Y27" i="15"/>
  <c r="Y29" i="15"/>
  <c r="Y24" i="15"/>
  <c r="Y28" i="15"/>
  <c r="Q16" i="15"/>
  <c r="Y21" i="15" s="1"/>
  <c r="Q22" i="15"/>
  <c r="Q23" i="15" s="1"/>
  <c r="Q25" i="15"/>
  <c r="Q24" i="15"/>
  <c r="W17" i="15"/>
  <c r="W29" i="15"/>
  <c r="W41" i="15"/>
  <c r="W18" i="15"/>
  <c r="W30" i="15"/>
  <c r="W42" i="15"/>
  <c r="W26" i="15"/>
  <c r="W27" i="15"/>
  <c r="W40" i="15"/>
  <c r="W19" i="15"/>
  <c r="W31" i="15"/>
  <c r="W43" i="15"/>
  <c r="W25" i="15"/>
  <c r="W20" i="15"/>
  <c r="W32" i="15"/>
  <c r="W44" i="15"/>
  <c r="W39" i="15"/>
  <c r="W21" i="15"/>
  <c r="W33" i="15"/>
  <c r="W45" i="15"/>
  <c r="W22" i="15"/>
  <c r="W34" i="15"/>
  <c r="W46" i="15"/>
  <c r="W37" i="15"/>
  <c r="W23" i="15"/>
  <c r="W35" i="15"/>
  <c r="W47" i="15"/>
  <c r="W28" i="15"/>
  <c r="W24" i="15"/>
  <c r="W36" i="15"/>
  <c r="W38" i="15"/>
  <c r="X17" i="15"/>
  <c r="X29" i="15"/>
  <c r="X41" i="15"/>
  <c r="X18" i="15"/>
  <c r="X30" i="15"/>
  <c r="X42" i="15"/>
  <c r="X19" i="15"/>
  <c r="X31" i="15"/>
  <c r="X43" i="15"/>
  <c r="X28" i="15"/>
  <c r="X20" i="15"/>
  <c r="X32" i="15"/>
  <c r="X44" i="15"/>
  <c r="X21" i="15"/>
  <c r="X33" i="15"/>
  <c r="X45" i="15"/>
  <c r="X40" i="15"/>
  <c r="X22" i="15"/>
  <c r="X34" i="15"/>
  <c r="X46" i="15"/>
  <c r="X23" i="15"/>
  <c r="X35" i="15"/>
  <c r="X47" i="15"/>
  <c r="X24" i="15"/>
  <c r="X36" i="15"/>
  <c r="X16" i="15"/>
  <c r="X25" i="15"/>
  <c r="X37" i="15"/>
  <c r="X26" i="15"/>
  <c r="X38" i="15"/>
  <c r="X27" i="15"/>
  <c r="X39" i="15"/>
  <c r="J19" i="15"/>
  <c r="J25" i="15"/>
  <c r="J22" i="15"/>
  <c r="U16" i="15"/>
  <c r="S16" i="15"/>
  <c r="Z16" i="15" a="1"/>
  <c r="Y16" i="15" a="1"/>
  <c r="AA21" i="17" l="1"/>
  <c r="AA23" i="17" s="1"/>
  <c r="Y55" i="15"/>
  <c r="Q20" i="15"/>
  <c r="R24" i="15" s="1"/>
  <c r="W16" i="15"/>
  <c r="Z18" i="15" s="1"/>
  <c r="Z19" i="15" s="1"/>
  <c r="Y16" i="15"/>
  <c r="Z16" i="15"/>
  <c r="R23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<sst xmlns="http://schemas.openxmlformats.org/spreadsheetml/2006/main" count="152" uniqueCount="44">
  <si>
    <t>cm</t>
    <phoneticPr fontId="1" type="noConversion"/>
  </si>
  <si>
    <r>
      <t>kg/cm</t>
    </r>
    <r>
      <rPr>
        <vertAlign val="superscript"/>
        <sz val="12"/>
        <rFont val="Times New Roman"/>
        <family val="1"/>
      </rPr>
      <t>2</t>
    </r>
    <phoneticPr fontId="1" type="noConversion"/>
  </si>
  <si>
    <t>D1 =</t>
    <phoneticPr fontId="1" type="noConversion"/>
  </si>
  <si>
    <t>Pu</t>
    <phoneticPr fontId="1" type="noConversion"/>
  </si>
  <si>
    <t xml:space="preserve"> </t>
    <phoneticPr fontId="1" type="noConversion"/>
  </si>
  <si>
    <t>M3</t>
    <phoneticPr fontId="1" type="noConversion"/>
  </si>
  <si>
    <t>M2</t>
    <phoneticPr fontId="1" type="noConversion"/>
  </si>
  <si>
    <t>CHECK</t>
    <phoneticPr fontId="1" type="noConversion"/>
  </si>
  <si>
    <t>Cc</t>
    <phoneticPr fontId="1" type="noConversion"/>
  </si>
  <si>
    <t>Cs</t>
    <phoneticPr fontId="1" type="noConversion"/>
  </si>
  <si>
    <t>B2 =</t>
    <phoneticPr fontId="1" type="noConversion"/>
  </si>
  <si>
    <t>Number of rebar D1 direction of outer layer =</t>
    <phoneticPr fontId="1" type="noConversion"/>
  </si>
  <si>
    <t>Number of rebar B2 direction of outer layer =</t>
    <phoneticPr fontId="1" type="noConversion"/>
  </si>
  <si>
    <t>Number of rebar D1 direction of inner layer =</t>
    <phoneticPr fontId="1" type="noConversion"/>
  </si>
  <si>
    <t>Number of rebar B2 direction of inner layer =</t>
    <phoneticPr fontId="1" type="noConversion"/>
  </si>
  <si>
    <t>sizes of reinforcing bars =</t>
    <phoneticPr fontId="1" type="noConversion"/>
  </si>
  <si>
    <t>sizes of shear reinforcing bars =</t>
    <phoneticPr fontId="1" type="noConversion"/>
  </si>
  <si>
    <t>fc' =</t>
    <phoneticPr fontId="1" type="noConversion"/>
  </si>
  <si>
    <t>yield sthrenth of rebar =</t>
    <phoneticPr fontId="1" type="noConversion"/>
  </si>
  <si>
    <t>clear cover =</t>
    <phoneticPr fontId="1" type="noConversion"/>
  </si>
  <si>
    <t>#</t>
    <phoneticPr fontId="1" type="noConversion"/>
  </si>
  <si>
    <t>Mu kgf-cm</t>
    <phoneticPr fontId="1" type="noConversion"/>
  </si>
  <si>
    <t>theta(rad)</t>
    <phoneticPr fontId="1" type="noConversion"/>
  </si>
  <si>
    <t>pointE</t>
    <phoneticPr fontId="1" type="noConversion"/>
  </si>
  <si>
    <t>pointF2s</t>
    <phoneticPr fontId="1" type="noConversion"/>
  </si>
  <si>
    <t>pointF3s</t>
    <phoneticPr fontId="1" type="noConversion"/>
  </si>
  <si>
    <t>transformedsection</t>
    <phoneticPr fontId="1" type="noConversion"/>
  </si>
  <si>
    <t>rebarcoord</t>
    <phoneticPr fontId="1" type="noConversion"/>
  </si>
  <si>
    <t>coordtransformation</t>
    <phoneticPr fontId="1" type="noConversion"/>
  </si>
  <si>
    <t>-&gt; rebarcoord</t>
    <phoneticPr fontId="1" type="noConversion"/>
  </si>
  <si>
    <t>c =</t>
    <phoneticPr fontId="1" type="noConversion"/>
  </si>
  <si>
    <t>kgf</t>
    <phoneticPr fontId="1" type="noConversion"/>
  </si>
  <si>
    <t>Ts</t>
    <phoneticPr fontId="1" type="noConversion"/>
  </si>
  <si>
    <t>Mn</t>
    <phoneticPr fontId="1" type="noConversion"/>
  </si>
  <si>
    <t>phi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</si>
  <si>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</si>
  <si>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</si>
  <si>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</si>
  <si>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</si>
  <si>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steel</t>
    <phoneticPr fontId="1" type="noConversion"/>
  </si>
  <si>
    <t>a =</t>
    <phoneticPr fontId="1" type="noConversion"/>
  </si>
  <si>
    <t>draw</t>
    <phoneticPr fontId="1" type="noConversion"/>
  </si>
  <si>
    <t>phi*Mn</t>
    <phoneticPr fontId="1" type="noConversion"/>
  </si>
  <si>
    <t>phi*P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</si>
</sst>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76" formatCode="0.00_ "/>
    <numFmt numFmtId="177" formatCode="0.000_ "/>
    <numFmt numFmtId="178" formatCode="0.0_ "/>
    <numFmt numFmtId="179" formatCode="0_ "/>
    <numFmt numFmtId="180" formatCode="0.0000_ "/>
    <numFmt numFmtId="181" formatCode="0.00000_ "/>
    <numFmt numFmtId="182" formatCode="0.000000_ "/>
    <numFmt numFmtId="183" formatCode="0.00000000_ "/>
    <numFmt numFmtId="184" formatCode="0.0000"/>
    <numFmt numFmtId="185" formatCode="0.000000000_ "/>
    <numFmt numFmtId="186" formatCode="0.0000000000_ "/>
  </numFmts>
  <fonts count="9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56"/>
      <name val="Times New Roman"/>
      <family val="1"/>
    </font>
    <font>
      <vertAlign val="superscript"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rgb="FFFF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176" fontId="2" fillId="0" borderId="0" xfId="0" applyNumberFormat="1" applyFont="1"/>
    <xf numFmtId="176" fontId="2" fillId="0" borderId="0" xfId="0" applyNumberFormat="1" applyFont="1" applyAlignment="1">
      <alignment horizontal="right"/>
    </xf>
    <xf numFmtId="176" fontId="2" fillId="0" borderId="0" xfId="0" applyNumberFormat="1" applyFont="1" applyAlignment="1">
      <alignment horizontal="center"/>
    </xf>
    <xf numFmtId="0" fontId="2" fillId="0" borderId="0" xfId="0" applyFont="1"/>
    <xf numFmtId="176" fontId="4" fillId="0" borderId="0" xfId="0" applyNumberFormat="1" applyFont="1" applyAlignment="1">
      <alignment horizontal="center"/>
    </xf>
    <xf numFmtId="176" fontId="2" fillId="0" borderId="0" xfId="0" applyNumberFormat="1" applyFont="1" applyAlignment="1">
      <alignment horizontal="left"/>
    </xf>
    <xf numFmtId="176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179" fontId="7" fillId="0" borderId="0" xfId="0" applyNumberFormat="1" applyFont="1"/>
    <xf numFmtId="179" fontId="2" fillId="0" borderId="0" xfId="0" applyNumberFormat="1" applyFont="1"/>
    <xf numFmtId="181" fontId="2" fillId="0" borderId="0" xfId="0" applyNumberFormat="1" applyFont="1" applyAlignment="1">
      <alignment horizontal="right"/>
    </xf>
    <xf numFmtId="176" fontId="2" fillId="0" borderId="1" xfId="0" applyNumberFormat="1" applyFont="1" applyBorder="1" applyAlignment="1">
      <alignment horizontal="center"/>
    </xf>
    <xf numFmtId="179" fontId="3" fillId="0" borderId="0" xfId="0" applyNumberFormat="1" applyFont="1"/>
    <xf numFmtId="2" fontId="2" fillId="0" borderId="0" xfId="0" applyNumberFormat="1" applyFont="1"/>
    <xf numFmtId="179" fontId="3" fillId="0" borderId="0" xfId="0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77" fontId="2" fillId="0" borderId="0" xfId="0" applyNumberFormat="1" applyFont="1"/>
    <xf numFmtId="179" fontId="6" fillId="0" borderId="0" xfId="0" applyNumberFormat="1" applyFont="1" applyAlignment="1">
      <alignment horizontal="right"/>
    </xf>
    <xf numFmtId="178" fontId="2" fillId="0" borderId="0" xfId="0" applyNumberFormat="1" applyFont="1"/>
    <xf numFmtId="180" fontId="2" fillId="0" borderId="0" xfId="0" applyNumberFormat="1" applyFont="1"/>
    <xf numFmtId="176" fontId="4" fillId="0" borderId="1" xfId="0" applyNumberFormat="1" applyFont="1" applyBorder="1" applyAlignment="1">
      <alignment horizontal="center"/>
    </xf>
    <xf numFmtId="181" fontId="2" fillId="0" borderId="0" xfId="0" applyNumberFormat="1" applyFont="1"/>
    <xf numFmtId="182" fontId="2" fillId="0" borderId="0" xfId="0" applyNumberFormat="1" applyFont="1"/>
    <xf numFmtId="179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176" fontId="2" fillId="0" borderId="1" xfId="0" applyNumberFormat="1" applyFont="1" applyBorder="1"/>
    <xf numFmtId="176" fontId="2" fillId="0" borderId="0" xfId="0" quotePrefix="1" applyNumberFormat="1" applyFont="1"/>
    <xf numFmtId="179" fontId="2" fillId="0" borderId="0" xfId="0" quotePrefix="1" applyNumberFormat="1" applyFont="1"/>
    <xf numFmtId="182" fontId="2" fillId="0" borderId="1" xfId="0" applyNumberFormat="1" applyFont="1" applyBorder="1"/>
    <xf numFmtId="178" fontId="2" fillId="0" borderId="0" xfId="0" applyNumberFormat="1" applyFont="1" applyAlignment="1">
      <alignment horizontal="right"/>
    </xf>
    <xf numFmtId="183" fontId="2" fillId="0" borderId="0" xfId="0" applyNumberFormat="1" applyFont="1"/>
    <xf numFmtId="180" fontId="2" fillId="0" borderId="0" xfId="0" quotePrefix="1" applyNumberFormat="1" applyFont="1"/>
    <xf numFmtId="11" fontId="2" fillId="0" borderId="0" xfId="0" applyNumberFormat="1" applyFont="1"/>
    <xf numFmtId="176" fontId="2" fillId="0" borderId="1" xfId="0" applyNumberFormat="1" applyFont="1" applyBorder="1" applyAlignment="1">
      <alignment horizontal="right"/>
    </xf>
    <xf numFmtId="179" fontId="2" fillId="0" borderId="0" xfId="0" applyNumberFormat="1" applyFont="1" applyAlignment="1">
      <alignment horizontal="right"/>
    </xf>
    <xf numFmtId="184" fontId="8" fillId="0" borderId="0" xfId="0" applyNumberFormat="1" applyFont="1"/>
    <xf numFmtId="181" fontId="2" fillId="0" borderId="1" xfId="0" applyNumberFormat="1" applyFont="1" applyBorder="1"/>
    <xf numFmtId="181" fontId="2" fillId="0" borderId="0" xfId="0" quotePrefix="1" applyNumberFormat="1" applyFont="1"/>
    <xf numFmtId="180" fontId="2" fillId="0" borderId="0" xfId="0" applyNumberFormat="1" applyFont="1" applyAlignment="1">
      <alignment horizontal="right"/>
    </xf>
    <xf numFmtId="181" fontId="7" fillId="0" borderId="0" xfId="0" applyNumberFormat="1" applyFont="1"/>
    <xf numFmtId="178" fontId="2" fillId="0" borderId="1" xfId="0" applyNumberFormat="1" applyFont="1" applyBorder="1"/>
    <xf numFmtId="185" fontId="2" fillId="0" borderId="0" xfId="0" applyNumberFormat="1" applyFont="1"/>
    <xf numFmtId="186" fontId="2" fillId="0" borderId="0" xfId="0" applyNumberFormat="1" applyFont="1"/>
  </cellXfs>
  <cellStyles count="1">
    <cellStyle name="一般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對的示範例1!$K$2:$K$6</c:f>
              <c:numCache>
                <c:formatCode>0.00_ </c:formatCode>
                <c:ptCount val="5"/>
                <c:pt idx="0">
                  <c:v>14.245932347924342</c:v>
                </c:pt>
                <c:pt idx="1">
                  <c:v>57.776633326270158</c:v>
                </c:pt>
                <c:pt idx="2">
                  <c:v>-14.245932347924342</c:v>
                </c:pt>
                <c:pt idx="3">
                  <c:v>-57.776633326270158</c:v>
                </c:pt>
                <c:pt idx="4">
                  <c:v>14.245932347924342</c:v>
                </c:pt>
              </c:numCache>
            </c:numRef>
          </c:xVal>
          <c:yVal>
            <c:numRef>
              <c:f>對的示範例1!$L$2:$L$6</c:f>
              <c:numCache>
                <c:formatCode>0.00_ </c:formatCode>
                <c:ptCount val="5"/>
                <c:pt idx="0">
                  <c:v>-62.426383937709886</c:v>
                </c:pt>
                <c:pt idx="1">
                  <c:v>27.60182315503323</c:v>
                </c:pt>
                <c:pt idx="2">
                  <c:v>62.426383937709886</c:v>
                </c:pt>
                <c:pt idx="3">
                  <c:v>-27.60182315503323</c:v>
                </c:pt>
                <c:pt idx="4">
                  <c:v>-62.426383937709886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7-47A7-8F3F-6D323AE407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對的示範例1!$O$16:$O$47</c:f>
              <c:numCache>
                <c:formatCode>0.00_ </c:formatCode>
                <c:ptCount val="32"/>
                <c:pt idx="0">
                  <c:v>-49.041880738420929</c:v>
                </c:pt>
                <c:pt idx="1">
                  <c:v>-44.837782372823355</c:v>
                </c:pt>
                <c:pt idx="2">
                  <c:v>-40.633684007225781</c:v>
                </c:pt>
                <c:pt idx="3">
                  <c:v>-36.429585641628201</c:v>
                </c:pt>
                <c:pt idx="4">
                  <c:v>-32.225487276030627</c:v>
                </c:pt>
                <c:pt idx="5">
                  <c:v>-28.021388910433053</c:v>
                </c:pt>
                <c:pt idx="6">
                  <c:v>-23.817290544835476</c:v>
                </c:pt>
                <c:pt idx="7">
                  <c:v>-19.613192179237906</c:v>
                </c:pt>
                <c:pt idx="8">
                  <c:v>-15.409093813640329</c:v>
                </c:pt>
                <c:pt idx="9">
                  <c:v>-11.204995448042752</c:v>
                </c:pt>
                <c:pt idx="10">
                  <c:v>11.204995448042752</c:v>
                </c:pt>
                <c:pt idx="11">
                  <c:v>15.409093813640325</c:v>
                </c:pt>
                <c:pt idx="12">
                  <c:v>19.613192179237899</c:v>
                </c:pt>
                <c:pt idx="13">
                  <c:v>23.817290544835476</c:v>
                </c:pt>
                <c:pt idx="14">
                  <c:v>28.021388910433053</c:v>
                </c:pt>
                <c:pt idx="15">
                  <c:v>32.225487276030627</c:v>
                </c:pt>
                <c:pt idx="16">
                  <c:v>36.429585641628201</c:v>
                </c:pt>
                <c:pt idx="17">
                  <c:v>40.633684007225774</c:v>
                </c:pt>
                <c:pt idx="18">
                  <c:v>44.837782372823355</c:v>
                </c:pt>
                <c:pt idx="19">
                  <c:v>49.041880738420929</c:v>
                </c:pt>
                <c:pt idx="20">
                  <c:v>2.5982988499765121</c:v>
                </c:pt>
                <c:pt idx="21">
                  <c:v>-6.0083977480897293</c:v>
                </c:pt>
                <c:pt idx="22">
                  <c:v>-14.615094346155971</c:v>
                </c:pt>
                <c:pt idx="23">
                  <c:v>-23.22179094422221</c:v>
                </c:pt>
                <c:pt idx="24">
                  <c:v>-31.828487542288457</c:v>
                </c:pt>
                <c:pt idx="25">
                  <c:v>-40.435184140354693</c:v>
                </c:pt>
                <c:pt idx="26">
                  <c:v>40.435184140354693</c:v>
                </c:pt>
                <c:pt idx="27">
                  <c:v>31.82848754228845</c:v>
                </c:pt>
                <c:pt idx="28">
                  <c:v>23.221790944222207</c:v>
                </c:pt>
                <c:pt idx="29">
                  <c:v>14.615094346155967</c:v>
                </c:pt>
                <c:pt idx="30">
                  <c:v>6.0083977480897222</c:v>
                </c:pt>
                <c:pt idx="31">
                  <c:v>-2.5982988499765156</c:v>
                </c:pt>
              </c:numCache>
            </c:numRef>
          </c:xVal>
          <c:yVal>
            <c:numRef>
              <c:f>對的示範例1!$P$16:$P$47</c:f>
              <c:numCache>
                <c:formatCode>0.00_ </c:formatCode>
                <c:ptCount val="32"/>
                <c:pt idx="0" formatCode="0.000_ ">
                  <c:v>-24.560886255151644</c:v>
                </c:pt>
                <c:pt idx="1">
                  <c:v>-15.866162076816948</c:v>
                </c:pt>
                <c:pt idx="2">
                  <c:v>-7.171437898482246</c:v>
                </c:pt>
                <c:pt idx="3">
                  <c:v>1.5232862798524547</c:v>
                </c:pt>
                <c:pt idx="4">
                  <c:v>10.218010458187155</c:v>
                </c:pt>
                <c:pt idx="5">
                  <c:v>18.912734636521854</c:v>
                </c:pt>
                <c:pt idx="6">
                  <c:v>27.607458814856557</c:v>
                </c:pt>
                <c:pt idx="7">
                  <c:v>36.302182993191252</c:v>
                </c:pt>
                <c:pt idx="8">
                  <c:v>44.996907171525955</c:v>
                </c:pt>
                <c:pt idx="9">
                  <c:v>53.691631349860657</c:v>
                </c:pt>
                <c:pt idx="10">
                  <c:v>-53.691631349860657</c:v>
                </c:pt>
                <c:pt idx="11">
                  <c:v>-44.996907171525962</c:v>
                </c:pt>
                <c:pt idx="12">
                  <c:v>-36.302182993191259</c:v>
                </c:pt>
                <c:pt idx="13">
                  <c:v>-27.607458814856557</c:v>
                </c:pt>
                <c:pt idx="14">
                  <c:v>-18.912734636521858</c:v>
                </c:pt>
                <c:pt idx="15">
                  <c:v>-10.218010458187161</c:v>
                </c:pt>
                <c:pt idx="16">
                  <c:v>-1.5232862798524547</c:v>
                </c:pt>
                <c:pt idx="17">
                  <c:v>7.1714378984822353</c:v>
                </c:pt>
                <c:pt idx="18">
                  <c:v>15.866162076816941</c:v>
                </c:pt>
                <c:pt idx="19">
                  <c:v>24.560886255151644</c:v>
                </c:pt>
                <c:pt idx="20">
                  <c:v>-49.5300963363308</c:v>
                </c:pt>
                <c:pt idx="21">
                  <c:v>-45.368561322800936</c:v>
                </c:pt>
                <c:pt idx="22">
                  <c:v>-41.207026309271079</c:v>
                </c:pt>
                <c:pt idx="23">
                  <c:v>-37.045491295741222</c:v>
                </c:pt>
                <c:pt idx="24">
                  <c:v>-32.883956282211358</c:v>
                </c:pt>
                <c:pt idx="25">
                  <c:v>-28.722421268681501</c:v>
                </c:pt>
                <c:pt idx="26">
                  <c:v>28.722421268681501</c:v>
                </c:pt>
                <c:pt idx="27">
                  <c:v>32.883956282211365</c:v>
                </c:pt>
                <c:pt idx="28">
                  <c:v>37.045491295741222</c:v>
                </c:pt>
                <c:pt idx="29">
                  <c:v>41.207026309271079</c:v>
                </c:pt>
                <c:pt idx="30">
                  <c:v>45.368561322800943</c:v>
                </c:pt>
                <c:pt idx="31">
                  <c:v>49.5300963363308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7-47A7-8F3F-6D323AE40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對的示範例1!$H$2:$H$6</c:f>
              <c:numCache>
                <c:formatCode>0.00_ </c:formatCode>
                <c:ptCount val="5"/>
                <c:pt idx="0">
                  <c:v>-50</c:v>
                </c:pt>
                <c:pt idx="1">
                  <c:v>50</c:v>
                </c:pt>
                <c:pt idx="2">
                  <c:v>50</c:v>
                </c:pt>
                <c:pt idx="3">
                  <c:v>-50</c:v>
                </c:pt>
                <c:pt idx="4">
                  <c:v>-50</c:v>
                </c:pt>
              </c:numCache>
            </c:numRef>
          </c:xVal>
          <c:yVal>
            <c:numRef>
              <c:f>對的示範例1!$I$2:$I$6</c:f>
              <c:numCache>
                <c:formatCode>0.00_ 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40</c:v>
                </c:pt>
                <c:pt idx="3">
                  <c:v>40</c:v>
                </c:pt>
                <c:pt idx="4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F-4515-8546-ED2AEC5C5CD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對的示範例1!$M$16:$M$47</c:f>
              <c:numCache>
                <c:formatCode>0.00_ </c:formatCode>
                <c:ptCount val="32"/>
                <c:pt idx="0">
                  <c:v>-43.459999999999994</c:v>
                </c:pt>
                <c:pt idx="1">
                  <c:v>-33.80222222222222</c:v>
                </c:pt>
                <c:pt idx="2">
                  <c:v>-24.144444444444442</c:v>
                </c:pt>
                <c:pt idx="3">
                  <c:v>-14.486666666666665</c:v>
                </c:pt>
                <c:pt idx="4">
                  <c:v>-4.8288888888888906</c:v>
                </c:pt>
                <c:pt idx="5">
                  <c:v>4.8288888888888835</c:v>
                </c:pt>
                <c:pt idx="6">
                  <c:v>14.486666666666665</c:v>
                </c:pt>
                <c:pt idx="7">
                  <c:v>24.144444444444431</c:v>
                </c:pt>
                <c:pt idx="8" formatCode="0_ ">
                  <c:v>33.802222222222213</c:v>
                </c:pt>
                <c:pt idx="9">
                  <c:v>43.459999999999994</c:v>
                </c:pt>
                <c:pt idx="10">
                  <c:v>-43.459999999999994</c:v>
                </c:pt>
                <c:pt idx="11">
                  <c:v>-33.80222222222222</c:v>
                </c:pt>
                <c:pt idx="12">
                  <c:v>-24.144444444444442</c:v>
                </c:pt>
                <c:pt idx="13">
                  <c:v>-14.486666666666665</c:v>
                </c:pt>
                <c:pt idx="14">
                  <c:v>-4.8288888888888906</c:v>
                </c:pt>
                <c:pt idx="15">
                  <c:v>4.8288888888888835</c:v>
                </c:pt>
                <c:pt idx="16">
                  <c:v>14.486666666666665</c:v>
                </c:pt>
                <c:pt idx="17">
                  <c:v>24.144444444444431</c:v>
                </c:pt>
                <c:pt idx="18">
                  <c:v>33.802222222222213</c:v>
                </c:pt>
                <c:pt idx="19">
                  <c:v>43.459999999999994</c:v>
                </c:pt>
                <c:pt idx="20">
                  <c:v>-43.459999999999994</c:v>
                </c:pt>
                <c:pt idx="21">
                  <c:v>-43.459999999999994</c:v>
                </c:pt>
                <c:pt idx="22">
                  <c:v>-43.459999999999994</c:v>
                </c:pt>
                <c:pt idx="23">
                  <c:v>-43.459999999999994</c:v>
                </c:pt>
                <c:pt idx="24">
                  <c:v>-43.459999999999994</c:v>
                </c:pt>
                <c:pt idx="25">
                  <c:v>-43.459999999999994</c:v>
                </c:pt>
                <c:pt idx="26">
                  <c:v>43.459999999999994</c:v>
                </c:pt>
                <c:pt idx="27">
                  <c:v>43.459999999999994</c:v>
                </c:pt>
                <c:pt idx="28">
                  <c:v>43.459999999999994</c:v>
                </c:pt>
                <c:pt idx="29">
                  <c:v>43.459999999999994</c:v>
                </c:pt>
                <c:pt idx="30">
                  <c:v>43.459999999999994</c:v>
                </c:pt>
                <c:pt idx="31">
                  <c:v>43.459999999999994</c:v>
                </c:pt>
              </c:numCache>
            </c:numRef>
          </c:xVal>
          <c:yVal>
            <c:numRef>
              <c:f>對的示範例1!$N$16:$N$47</c:f>
              <c:numCache>
                <c:formatCode>0.00_ </c:formatCode>
                <c:ptCount val="32"/>
                <c:pt idx="0">
                  <c:v>33.459999999999994</c:v>
                </c:pt>
                <c:pt idx="1">
                  <c:v>33.459999999999994</c:v>
                </c:pt>
                <c:pt idx="2">
                  <c:v>33.459999999999994</c:v>
                </c:pt>
                <c:pt idx="3">
                  <c:v>33.459999999999994</c:v>
                </c:pt>
                <c:pt idx="4">
                  <c:v>33.459999999999994</c:v>
                </c:pt>
                <c:pt idx="5">
                  <c:v>33.459999999999994</c:v>
                </c:pt>
                <c:pt idx="6">
                  <c:v>33.459999999999994</c:v>
                </c:pt>
                <c:pt idx="7">
                  <c:v>33.459999999999994</c:v>
                </c:pt>
                <c:pt idx="8">
                  <c:v>33.459999999999994</c:v>
                </c:pt>
                <c:pt idx="9">
                  <c:v>33.459999999999994</c:v>
                </c:pt>
                <c:pt idx="10">
                  <c:v>-33.459999999999994</c:v>
                </c:pt>
                <c:pt idx="11">
                  <c:v>-33.459999999999994</c:v>
                </c:pt>
                <c:pt idx="12">
                  <c:v>-33.459999999999994</c:v>
                </c:pt>
                <c:pt idx="13">
                  <c:v>-33.459999999999994</c:v>
                </c:pt>
                <c:pt idx="14">
                  <c:v>-33.459999999999994</c:v>
                </c:pt>
                <c:pt idx="15">
                  <c:v>-33.459999999999994</c:v>
                </c:pt>
                <c:pt idx="16">
                  <c:v>-33.459999999999994</c:v>
                </c:pt>
                <c:pt idx="17">
                  <c:v>-33.459999999999994</c:v>
                </c:pt>
                <c:pt idx="18">
                  <c:v>-33.459999999999994</c:v>
                </c:pt>
                <c:pt idx="19">
                  <c:v>-33.459999999999994</c:v>
                </c:pt>
                <c:pt idx="20">
                  <c:v>-23.899999999999995</c:v>
                </c:pt>
                <c:pt idx="21">
                  <c:v>-14.339999999999996</c:v>
                </c:pt>
                <c:pt idx="22">
                  <c:v>-4.7799999999999976</c:v>
                </c:pt>
                <c:pt idx="23">
                  <c:v>4.7800000000000011</c:v>
                </c:pt>
                <c:pt idx="24">
                  <c:v>14.340000000000003</c:v>
                </c:pt>
                <c:pt idx="25">
                  <c:v>23.9</c:v>
                </c:pt>
                <c:pt idx="26">
                  <c:v>-23.899999999999995</c:v>
                </c:pt>
                <c:pt idx="27">
                  <c:v>-14.339999999999996</c:v>
                </c:pt>
                <c:pt idx="28">
                  <c:v>-4.7799999999999976</c:v>
                </c:pt>
                <c:pt idx="29">
                  <c:v>4.7800000000000011</c:v>
                </c:pt>
                <c:pt idx="30">
                  <c:v>14.340000000000003</c:v>
                </c:pt>
                <c:pt idx="31">
                  <c:v>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F-4515-8546-ED2AEC5C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對的示範例1!$J$19:$J$25</c:f>
              <c:numCache>
                <c:formatCode>0.00_ </c:formatCode>
                <c:ptCount val="7"/>
                <c:pt idx="0">
                  <c:v>57.776633326270158</c:v>
                </c:pt>
                <c:pt idx="1">
                  <c:v>14.245932347924342</c:v>
                </c:pt>
                <c:pt idx="2">
                  <c:v>-14.245932347924342</c:v>
                </c:pt>
                <c:pt idx="3">
                  <c:v>-57.776633326270158</c:v>
                </c:pt>
                <c:pt idx="4">
                  <c:v>-14.245932347924342</c:v>
                </c:pt>
                <c:pt idx="5">
                  <c:v>14.245932347924342</c:v>
                </c:pt>
                <c:pt idx="6">
                  <c:v>57.776633326270158</c:v>
                </c:pt>
              </c:numCache>
            </c:numRef>
          </c:xVal>
          <c:yVal>
            <c:numRef>
              <c:f>對的示範例1!$K$19:$K$25</c:f>
              <c:numCache>
                <c:formatCode>0.00_ </c:formatCode>
                <c:ptCount val="7"/>
                <c:pt idx="0">
                  <c:v>0</c:v>
                </c:pt>
                <c:pt idx="1">
                  <c:v>55.538149225257342</c:v>
                </c:pt>
                <c:pt idx="2">
                  <c:v>55.538149225257342</c:v>
                </c:pt>
                <c:pt idx="3">
                  <c:v>0</c:v>
                </c:pt>
                <c:pt idx="4">
                  <c:v>-55.538149225257342</c:v>
                </c:pt>
                <c:pt idx="5">
                  <c:v>-55.538149225257342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DA-4B3D-AEFB-E26EB02E3F2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對的示範例1!$O$16:$O$47</c:f>
              <c:numCache>
                <c:formatCode>0.00_ </c:formatCode>
                <c:ptCount val="32"/>
                <c:pt idx="0">
                  <c:v>-49.041880738420929</c:v>
                </c:pt>
                <c:pt idx="1">
                  <c:v>-44.837782372823355</c:v>
                </c:pt>
                <c:pt idx="2">
                  <c:v>-40.633684007225781</c:v>
                </c:pt>
                <c:pt idx="3">
                  <c:v>-36.429585641628201</c:v>
                </c:pt>
                <c:pt idx="4">
                  <c:v>-32.225487276030627</c:v>
                </c:pt>
                <c:pt idx="5">
                  <c:v>-28.021388910433053</c:v>
                </c:pt>
                <c:pt idx="6">
                  <c:v>-23.817290544835476</c:v>
                </c:pt>
                <c:pt idx="7">
                  <c:v>-19.613192179237906</c:v>
                </c:pt>
                <c:pt idx="8">
                  <c:v>-15.409093813640329</c:v>
                </c:pt>
                <c:pt idx="9">
                  <c:v>-11.204995448042752</c:v>
                </c:pt>
                <c:pt idx="10">
                  <c:v>11.204995448042752</c:v>
                </c:pt>
                <c:pt idx="11">
                  <c:v>15.409093813640325</c:v>
                </c:pt>
                <c:pt idx="12">
                  <c:v>19.613192179237899</c:v>
                </c:pt>
                <c:pt idx="13">
                  <c:v>23.817290544835476</c:v>
                </c:pt>
                <c:pt idx="14">
                  <c:v>28.021388910433053</c:v>
                </c:pt>
                <c:pt idx="15">
                  <c:v>32.225487276030627</c:v>
                </c:pt>
                <c:pt idx="16">
                  <c:v>36.429585641628201</c:v>
                </c:pt>
                <c:pt idx="17">
                  <c:v>40.633684007225774</c:v>
                </c:pt>
                <c:pt idx="18">
                  <c:v>44.837782372823355</c:v>
                </c:pt>
                <c:pt idx="19">
                  <c:v>49.041880738420929</c:v>
                </c:pt>
                <c:pt idx="20">
                  <c:v>2.5982988499765121</c:v>
                </c:pt>
                <c:pt idx="21">
                  <c:v>-6.0083977480897293</c:v>
                </c:pt>
                <c:pt idx="22">
                  <c:v>-14.615094346155971</c:v>
                </c:pt>
                <c:pt idx="23">
                  <c:v>-23.22179094422221</c:v>
                </c:pt>
                <c:pt idx="24">
                  <c:v>-31.828487542288457</c:v>
                </c:pt>
                <c:pt idx="25">
                  <c:v>-40.435184140354693</c:v>
                </c:pt>
                <c:pt idx="26">
                  <c:v>40.435184140354693</c:v>
                </c:pt>
                <c:pt idx="27">
                  <c:v>31.82848754228845</c:v>
                </c:pt>
                <c:pt idx="28">
                  <c:v>23.221790944222207</c:v>
                </c:pt>
                <c:pt idx="29">
                  <c:v>14.615094346155967</c:v>
                </c:pt>
                <c:pt idx="30">
                  <c:v>6.0083977480897222</c:v>
                </c:pt>
                <c:pt idx="31">
                  <c:v>-2.5982988499765156</c:v>
                </c:pt>
              </c:numCache>
            </c:numRef>
          </c:xVal>
          <c:yVal>
            <c:numRef>
              <c:f>對的示範例1!$P$16:$P$47</c:f>
              <c:numCache>
                <c:formatCode>0.00_ </c:formatCode>
                <c:ptCount val="32"/>
                <c:pt idx="0" formatCode="0.000_ ">
                  <c:v>-24.560886255151644</c:v>
                </c:pt>
                <c:pt idx="1">
                  <c:v>-15.866162076816948</c:v>
                </c:pt>
                <c:pt idx="2">
                  <c:v>-7.171437898482246</c:v>
                </c:pt>
                <c:pt idx="3">
                  <c:v>1.5232862798524547</c:v>
                </c:pt>
                <c:pt idx="4">
                  <c:v>10.218010458187155</c:v>
                </c:pt>
                <c:pt idx="5">
                  <c:v>18.912734636521854</c:v>
                </c:pt>
                <c:pt idx="6">
                  <c:v>27.607458814856557</c:v>
                </c:pt>
                <c:pt idx="7">
                  <c:v>36.302182993191252</c:v>
                </c:pt>
                <c:pt idx="8">
                  <c:v>44.996907171525955</c:v>
                </c:pt>
                <c:pt idx="9">
                  <c:v>53.691631349860657</c:v>
                </c:pt>
                <c:pt idx="10">
                  <c:v>-53.691631349860657</c:v>
                </c:pt>
                <c:pt idx="11">
                  <c:v>-44.996907171525962</c:v>
                </c:pt>
                <c:pt idx="12">
                  <c:v>-36.302182993191259</c:v>
                </c:pt>
                <c:pt idx="13">
                  <c:v>-27.607458814856557</c:v>
                </c:pt>
                <c:pt idx="14">
                  <c:v>-18.912734636521858</c:v>
                </c:pt>
                <c:pt idx="15">
                  <c:v>-10.218010458187161</c:v>
                </c:pt>
                <c:pt idx="16">
                  <c:v>-1.5232862798524547</c:v>
                </c:pt>
                <c:pt idx="17">
                  <c:v>7.1714378984822353</c:v>
                </c:pt>
                <c:pt idx="18">
                  <c:v>15.866162076816941</c:v>
                </c:pt>
                <c:pt idx="19">
                  <c:v>24.560886255151644</c:v>
                </c:pt>
                <c:pt idx="20">
                  <c:v>-49.5300963363308</c:v>
                </c:pt>
                <c:pt idx="21">
                  <c:v>-45.368561322800936</c:v>
                </c:pt>
                <c:pt idx="22">
                  <c:v>-41.207026309271079</c:v>
                </c:pt>
                <c:pt idx="23">
                  <c:v>-37.045491295741222</c:v>
                </c:pt>
                <c:pt idx="24">
                  <c:v>-32.883956282211358</c:v>
                </c:pt>
                <c:pt idx="25">
                  <c:v>-28.722421268681501</c:v>
                </c:pt>
                <c:pt idx="26">
                  <c:v>28.722421268681501</c:v>
                </c:pt>
                <c:pt idx="27">
                  <c:v>32.883956282211365</c:v>
                </c:pt>
                <c:pt idx="28">
                  <c:v>37.045491295741222</c:v>
                </c:pt>
                <c:pt idx="29">
                  <c:v>41.207026309271079</c:v>
                </c:pt>
                <c:pt idx="30">
                  <c:v>45.368561322800943</c:v>
                </c:pt>
                <c:pt idx="31">
                  <c:v>49.5300963363308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DA-4B3D-AEFB-E26EB02E3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對的示範例1!$O$16:$O$47</c:f>
              <c:numCache>
                <c:formatCode>0.00_ </c:formatCode>
                <c:ptCount val="32"/>
                <c:pt idx="0">
                  <c:v>-49.041880738420929</c:v>
                </c:pt>
                <c:pt idx="1">
                  <c:v>-44.837782372823355</c:v>
                </c:pt>
                <c:pt idx="2">
                  <c:v>-40.633684007225781</c:v>
                </c:pt>
                <c:pt idx="3">
                  <c:v>-36.429585641628201</c:v>
                </c:pt>
                <c:pt idx="4">
                  <c:v>-32.225487276030627</c:v>
                </c:pt>
                <c:pt idx="5">
                  <c:v>-28.021388910433053</c:v>
                </c:pt>
                <c:pt idx="6">
                  <c:v>-23.817290544835476</c:v>
                </c:pt>
                <c:pt idx="7">
                  <c:v>-19.613192179237906</c:v>
                </c:pt>
                <c:pt idx="8">
                  <c:v>-15.409093813640329</c:v>
                </c:pt>
                <c:pt idx="9">
                  <c:v>-11.204995448042752</c:v>
                </c:pt>
                <c:pt idx="10">
                  <c:v>11.204995448042752</c:v>
                </c:pt>
                <c:pt idx="11">
                  <c:v>15.409093813640325</c:v>
                </c:pt>
                <c:pt idx="12">
                  <c:v>19.613192179237899</c:v>
                </c:pt>
                <c:pt idx="13">
                  <c:v>23.817290544835476</c:v>
                </c:pt>
                <c:pt idx="14">
                  <c:v>28.021388910433053</c:v>
                </c:pt>
                <c:pt idx="15">
                  <c:v>32.225487276030627</c:v>
                </c:pt>
                <c:pt idx="16">
                  <c:v>36.429585641628201</c:v>
                </c:pt>
                <c:pt idx="17">
                  <c:v>40.633684007225774</c:v>
                </c:pt>
                <c:pt idx="18">
                  <c:v>44.837782372823355</c:v>
                </c:pt>
                <c:pt idx="19">
                  <c:v>49.041880738420929</c:v>
                </c:pt>
                <c:pt idx="20">
                  <c:v>2.5982988499765121</c:v>
                </c:pt>
                <c:pt idx="21">
                  <c:v>-6.0083977480897293</c:v>
                </c:pt>
                <c:pt idx="22">
                  <c:v>-14.615094346155971</c:v>
                </c:pt>
                <c:pt idx="23">
                  <c:v>-23.22179094422221</c:v>
                </c:pt>
                <c:pt idx="24">
                  <c:v>-31.828487542288457</c:v>
                </c:pt>
                <c:pt idx="25">
                  <c:v>-40.435184140354693</c:v>
                </c:pt>
                <c:pt idx="26">
                  <c:v>40.435184140354693</c:v>
                </c:pt>
                <c:pt idx="27">
                  <c:v>31.82848754228845</c:v>
                </c:pt>
                <c:pt idx="28">
                  <c:v>23.221790944222207</c:v>
                </c:pt>
                <c:pt idx="29">
                  <c:v>14.615094346155967</c:v>
                </c:pt>
                <c:pt idx="30">
                  <c:v>6.0083977480897222</c:v>
                </c:pt>
                <c:pt idx="31">
                  <c:v>-2.5982988499765156</c:v>
                </c:pt>
              </c:numCache>
            </c:numRef>
          </c:xVal>
          <c:yVal>
            <c:numRef>
              <c:f>對的示範例1!$X$16:$X$47</c:f>
              <c:numCache>
                <c:formatCode>0.00_ </c:formatCode>
                <c:ptCount val="32"/>
                <c:pt idx="0">
                  <c:v>-21407.4</c:v>
                </c:pt>
                <c:pt idx="1">
                  <c:v>-21407.4</c:v>
                </c:pt>
                <c:pt idx="2">
                  <c:v>-21407.4</c:v>
                </c:pt>
                <c:pt idx="3">
                  <c:v>-21407.4</c:v>
                </c:pt>
                <c:pt idx="4">
                  <c:v>-21407.4</c:v>
                </c:pt>
                <c:pt idx="5">
                  <c:v>-21407.4</c:v>
                </c:pt>
                <c:pt idx="6">
                  <c:v>-21407.4</c:v>
                </c:pt>
                <c:pt idx="7">
                  <c:v>-21407.4</c:v>
                </c:pt>
                <c:pt idx="8">
                  <c:v>-21407.4</c:v>
                </c:pt>
                <c:pt idx="9">
                  <c:v>-21407.4</c:v>
                </c:pt>
                <c:pt idx="10">
                  <c:v>-4703.60318299346</c:v>
                </c:pt>
                <c:pt idx="11">
                  <c:v>-1463.0999868274596</c:v>
                </c:pt>
                <c:pt idx="12">
                  <c:v>1777.403209265851</c:v>
                </c:pt>
                <c:pt idx="13">
                  <c:v>3804.8204054398589</c:v>
                </c:pt>
                <c:pt idx="14">
                  <c:v>7045.3236016138726</c:v>
                </c:pt>
                <c:pt idx="15">
                  <c:v>10285.826797787879</c:v>
                </c:pt>
                <c:pt idx="16">
                  <c:v>13526.329993961886</c:v>
                </c:pt>
                <c:pt idx="17">
                  <c:v>16766.833190135894</c:v>
                </c:pt>
                <c:pt idx="18">
                  <c:v>20007.336386309908</c:v>
                </c:pt>
                <c:pt idx="19">
                  <c:v>20194.314000000002</c:v>
                </c:pt>
                <c:pt idx="20">
                  <c:v>-11337.612525565153</c:v>
                </c:pt>
                <c:pt idx="21">
                  <c:v>-17971.621868136845</c:v>
                </c:pt>
                <c:pt idx="22">
                  <c:v>-21407.4</c:v>
                </c:pt>
                <c:pt idx="23">
                  <c:v>-21407.4</c:v>
                </c:pt>
                <c:pt idx="24">
                  <c:v>-21407.4</c:v>
                </c:pt>
                <c:pt idx="25">
                  <c:v>-21407.4</c:v>
                </c:pt>
                <c:pt idx="26">
                  <c:v>16613.830239895833</c:v>
                </c:pt>
                <c:pt idx="27">
                  <c:v>9979.8208973077417</c:v>
                </c:pt>
                <c:pt idx="28">
                  <c:v>4558.8975547196542</c:v>
                </c:pt>
                <c:pt idx="29">
                  <c:v>-2075.111787786223</c:v>
                </c:pt>
                <c:pt idx="30">
                  <c:v>-8709.1211303579203</c:v>
                </c:pt>
                <c:pt idx="31">
                  <c:v>-15343.130472929612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3-49E3-935E-47446308B0DE}"/>
            </c:ext>
          </c:extLst>
        </c:ser>
        <c:ser>
          <c:idx val="1"/>
          <c:order val="1"/>
          <c:tx>
            <c:v>Cc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對的示範例1!$Q$22:$Q$25</c:f>
              <c:numCache>
                <c:formatCode>0.00_ </c:formatCode>
                <c:ptCount val="4"/>
                <c:pt idx="0">
                  <c:v>23.377666699268083</c:v>
                </c:pt>
                <c:pt idx="1">
                  <c:v>23.377666699268083</c:v>
                </c:pt>
                <c:pt idx="2">
                  <c:v>57.776633326270158</c:v>
                </c:pt>
                <c:pt idx="3">
                  <c:v>57.776633326270158</c:v>
                </c:pt>
              </c:numCache>
            </c:numRef>
          </c:xVal>
          <c:yVal>
            <c:numRef>
              <c:f>對的示範例1!$R$22:$R$25</c:f>
              <c:numCache>
                <c:formatCode>0_ </c:formatCode>
                <c:ptCount val="4"/>
                <c:pt idx="0" formatCode="0.00_ ">
                  <c:v>0</c:v>
                </c:pt>
                <c:pt idx="1">
                  <c:v>3593.0519116065639</c:v>
                </c:pt>
                <c:pt idx="2">
                  <c:v>3593.0519116065639</c:v>
                </c:pt>
                <c:pt idx="3" formatCode="0.00_ 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3-49E3-935E-47446308B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807039"/>
        <c:axId val="2048813279"/>
      </c:scatterChart>
      <c:valAx>
        <c:axId val="204880703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crossAx val="2048813279"/>
        <c:crosses val="autoZero"/>
        <c:crossBetween val="midCat"/>
      </c:valAx>
      <c:valAx>
        <c:axId val="204881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80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對的示範例2!$K$2:$K$6</c:f>
              <c:numCache>
                <c:formatCode>0.00_ </c:formatCode>
                <c:ptCount val="5"/>
                <c:pt idx="0">
                  <c:v>-39.221251007014729</c:v>
                </c:pt>
                <c:pt idx="1">
                  <c:v>57.988250084811781</c:v>
                </c:pt>
                <c:pt idx="2">
                  <c:v>39.221251007014729</c:v>
                </c:pt>
                <c:pt idx="3">
                  <c:v>-57.988250084811781</c:v>
                </c:pt>
                <c:pt idx="4">
                  <c:v>-39.221251007014729</c:v>
                </c:pt>
              </c:numCache>
            </c:numRef>
          </c:xVal>
          <c:yVal>
            <c:numRef>
              <c:f>對的示範例2!$L$2:$L$6</c:f>
              <c:numCache>
                <c:formatCode>0.00_ </c:formatCode>
                <c:ptCount val="5"/>
                <c:pt idx="0">
                  <c:v>-50.613174860353759</c:v>
                </c:pt>
                <c:pt idx="1">
                  <c:v>-27.154426013107447</c:v>
                </c:pt>
                <c:pt idx="2">
                  <c:v>50.613174860353759</c:v>
                </c:pt>
                <c:pt idx="3">
                  <c:v>27.154426013107447</c:v>
                </c:pt>
                <c:pt idx="4">
                  <c:v>-50.613174860353759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2-417A-817F-1472256C1A6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對的示範例2!$O$16:$O$47</c:f>
              <c:numCache>
                <c:formatCode>0.00_ </c:formatCode>
                <c:ptCount val="32"/>
                <c:pt idx="0">
                  <c:v>-50.09654653879641</c:v>
                </c:pt>
                <c:pt idx="1">
                  <c:v>-40.708268944461352</c:v>
                </c:pt>
                <c:pt idx="2">
                  <c:v>-31.31999135012628</c:v>
                </c:pt>
                <c:pt idx="3">
                  <c:v>-21.931713755791211</c:v>
                </c:pt>
                <c:pt idx="4">
                  <c:v>-12.54343616145615</c:v>
                </c:pt>
                <c:pt idx="5">
                  <c:v>-3.1551585671210862</c:v>
                </c:pt>
                <c:pt idx="6">
                  <c:v>6.2331190272139834</c:v>
                </c:pt>
                <c:pt idx="7">
                  <c:v>15.621396621549042</c:v>
                </c:pt>
                <c:pt idx="8">
                  <c:v>25.009674215884115</c:v>
                </c:pt>
                <c:pt idx="9">
                  <c:v>34.397951810219176</c:v>
                </c:pt>
                <c:pt idx="10">
                  <c:v>-34.397951810219176</c:v>
                </c:pt>
                <c:pt idx="11">
                  <c:v>-25.009674215884122</c:v>
                </c:pt>
                <c:pt idx="12">
                  <c:v>-15.621396621549053</c:v>
                </c:pt>
                <c:pt idx="13">
                  <c:v>-6.2331190272139834</c:v>
                </c:pt>
                <c:pt idx="14">
                  <c:v>3.1551585671210791</c:v>
                </c:pt>
                <c:pt idx="15">
                  <c:v>12.543436161456142</c:v>
                </c:pt>
                <c:pt idx="16">
                  <c:v>21.931713755791211</c:v>
                </c:pt>
                <c:pt idx="17">
                  <c:v>31.319991350126269</c:v>
                </c:pt>
                <c:pt idx="18">
                  <c:v>40.708268944461345</c:v>
                </c:pt>
                <c:pt idx="19">
                  <c:v>50.09654653879641</c:v>
                </c:pt>
                <c:pt idx="20">
                  <c:v>-36.640608200015926</c:v>
                </c:pt>
                <c:pt idx="21">
                  <c:v>-38.883264589812676</c:v>
                </c:pt>
                <c:pt idx="22">
                  <c:v>-41.125920979609418</c:v>
                </c:pt>
                <c:pt idx="23">
                  <c:v>-43.368577369406168</c:v>
                </c:pt>
                <c:pt idx="24">
                  <c:v>-45.611233759202918</c:v>
                </c:pt>
                <c:pt idx="25">
                  <c:v>-47.85389014899966</c:v>
                </c:pt>
                <c:pt idx="26">
                  <c:v>47.85389014899966</c:v>
                </c:pt>
                <c:pt idx="27">
                  <c:v>45.611233759202911</c:v>
                </c:pt>
                <c:pt idx="28">
                  <c:v>43.368577369406168</c:v>
                </c:pt>
                <c:pt idx="29">
                  <c:v>41.125920979609418</c:v>
                </c:pt>
                <c:pt idx="30">
                  <c:v>38.883264589812669</c:v>
                </c:pt>
                <c:pt idx="31">
                  <c:v>36.640608200015926</c:v>
                </c:pt>
              </c:numCache>
            </c:numRef>
          </c:xVal>
          <c:yVal>
            <c:numRef>
              <c:f>對的示範例2!$P$16:$P$47</c:f>
              <c:numCache>
                <c:formatCode>0.00_ </c:formatCode>
                <c:ptCount val="32"/>
                <c:pt idx="0" formatCode="0.000_ ">
                  <c:v>22.331126816311901</c:v>
                </c:pt>
                <c:pt idx="1">
                  <c:v>24.596720649425958</c:v>
                </c:pt>
                <c:pt idx="2">
                  <c:v>26.862314482540011</c:v>
                </c:pt>
                <c:pt idx="3">
                  <c:v>29.127908315654068</c:v>
                </c:pt>
                <c:pt idx="4">
                  <c:v>31.393502148768121</c:v>
                </c:pt>
                <c:pt idx="5">
                  <c:v>33.659095981882174</c:v>
                </c:pt>
                <c:pt idx="6">
                  <c:v>35.924689814996228</c:v>
                </c:pt>
                <c:pt idx="7">
                  <c:v>38.190283648110281</c:v>
                </c:pt>
                <c:pt idx="8">
                  <c:v>40.455877481224334</c:v>
                </c:pt>
                <c:pt idx="9">
                  <c:v>42.721471314338395</c:v>
                </c:pt>
                <c:pt idx="10">
                  <c:v>-42.721471314338395</c:v>
                </c:pt>
                <c:pt idx="11">
                  <c:v>-40.455877481224341</c:v>
                </c:pt>
                <c:pt idx="12">
                  <c:v>-38.190283648110281</c:v>
                </c:pt>
                <c:pt idx="13">
                  <c:v>-35.924689814996228</c:v>
                </c:pt>
                <c:pt idx="14">
                  <c:v>-33.659095981882174</c:v>
                </c:pt>
                <c:pt idx="15">
                  <c:v>-31.393502148768121</c:v>
                </c:pt>
                <c:pt idx="16">
                  <c:v>-29.127908315654068</c:v>
                </c:pt>
                <c:pt idx="17">
                  <c:v>-26.862314482540015</c:v>
                </c:pt>
                <c:pt idx="18">
                  <c:v>-24.596720649425958</c:v>
                </c:pt>
                <c:pt idx="19">
                  <c:v>-22.331126816311901</c:v>
                </c:pt>
                <c:pt idx="20">
                  <c:v>-33.428243009959779</c:v>
                </c:pt>
                <c:pt idx="21">
                  <c:v>-24.135014705581163</c:v>
                </c:pt>
                <c:pt idx="22">
                  <c:v>-14.841786401202551</c:v>
                </c:pt>
                <c:pt idx="23">
                  <c:v>-5.5485580968239363</c:v>
                </c:pt>
                <c:pt idx="24">
                  <c:v>3.7446702075546803</c:v>
                </c:pt>
                <c:pt idx="25">
                  <c:v>13.037898511933291</c:v>
                </c:pt>
                <c:pt idx="26">
                  <c:v>-13.037898511933287</c:v>
                </c:pt>
                <c:pt idx="27">
                  <c:v>-3.7446702075546732</c:v>
                </c:pt>
                <c:pt idx="28">
                  <c:v>5.5485580968239399</c:v>
                </c:pt>
                <c:pt idx="29">
                  <c:v>14.841786401202555</c:v>
                </c:pt>
                <c:pt idx="30">
                  <c:v>24.13501470558117</c:v>
                </c:pt>
                <c:pt idx="31">
                  <c:v>33.428243009959779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D2-417A-817F-1472256C1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對的示範例2!$H$2:$H$6</c:f>
              <c:numCache>
                <c:formatCode>0.00_ </c:formatCode>
                <c:ptCount val="5"/>
                <c:pt idx="0">
                  <c:v>-50</c:v>
                </c:pt>
                <c:pt idx="1">
                  <c:v>50</c:v>
                </c:pt>
                <c:pt idx="2">
                  <c:v>50</c:v>
                </c:pt>
                <c:pt idx="3">
                  <c:v>-50</c:v>
                </c:pt>
                <c:pt idx="4">
                  <c:v>-50</c:v>
                </c:pt>
              </c:numCache>
            </c:numRef>
          </c:xVal>
          <c:yVal>
            <c:numRef>
              <c:f>對的示範例2!$I$2:$I$6</c:f>
              <c:numCache>
                <c:formatCode>0.00_ 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40</c:v>
                </c:pt>
                <c:pt idx="3">
                  <c:v>40</c:v>
                </c:pt>
                <c:pt idx="4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D-49B9-A62E-5D66EE69176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對的示範例2!$M$16:$M$47</c:f>
              <c:numCache>
                <c:formatCode>0.00_ </c:formatCode>
                <c:ptCount val="32"/>
                <c:pt idx="0">
                  <c:v>-43.459999999999994</c:v>
                </c:pt>
                <c:pt idx="1">
                  <c:v>-33.80222222222222</c:v>
                </c:pt>
                <c:pt idx="2">
                  <c:v>-24.144444444444442</c:v>
                </c:pt>
                <c:pt idx="3">
                  <c:v>-14.486666666666665</c:v>
                </c:pt>
                <c:pt idx="4">
                  <c:v>-4.8288888888888906</c:v>
                </c:pt>
                <c:pt idx="5">
                  <c:v>4.8288888888888835</c:v>
                </c:pt>
                <c:pt idx="6">
                  <c:v>14.486666666666665</c:v>
                </c:pt>
                <c:pt idx="7">
                  <c:v>24.144444444444431</c:v>
                </c:pt>
                <c:pt idx="8" formatCode="0_ ">
                  <c:v>33.802222222222213</c:v>
                </c:pt>
                <c:pt idx="9">
                  <c:v>43.459999999999994</c:v>
                </c:pt>
                <c:pt idx="10">
                  <c:v>-43.459999999999994</c:v>
                </c:pt>
                <c:pt idx="11">
                  <c:v>-33.80222222222222</c:v>
                </c:pt>
                <c:pt idx="12">
                  <c:v>-24.144444444444442</c:v>
                </c:pt>
                <c:pt idx="13">
                  <c:v>-14.486666666666665</c:v>
                </c:pt>
                <c:pt idx="14">
                  <c:v>-4.8288888888888906</c:v>
                </c:pt>
                <c:pt idx="15">
                  <c:v>4.8288888888888835</c:v>
                </c:pt>
                <c:pt idx="16">
                  <c:v>14.486666666666665</c:v>
                </c:pt>
                <c:pt idx="17">
                  <c:v>24.144444444444431</c:v>
                </c:pt>
                <c:pt idx="18">
                  <c:v>33.802222222222213</c:v>
                </c:pt>
                <c:pt idx="19">
                  <c:v>43.459999999999994</c:v>
                </c:pt>
                <c:pt idx="20">
                  <c:v>-43.459999999999994</c:v>
                </c:pt>
                <c:pt idx="21">
                  <c:v>-43.459999999999994</c:v>
                </c:pt>
                <c:pt idx="22">
                  <c:v>-43.459999999999994</c:v>
                </c:pt>
                <c:pt idx="23">
                  <c:v>-43.459999999999994</c:v>
                </c:pt>
                <c:pt idx="24">
                  <c:v>-43.459999999999994</c:v>
                </c:pt>
                <c:pt idx="25">
                  <c:v>-43.459999999999994</c:v>
                </c:pt>
                <c:pt idx="26">
                  <c:v>43.459999999999994</c:v>
                </c:pt>
                <c:pt idx="27">
                  <c:v>43.459999999999994</c:v>
                </c:pt>
                <c:pt idx="28">
                  <c:v>43.459999999999994</c:v>
                </c:pt>
                <c:pt idx="29">
                  <c:v>43.459999999999994</c:v>
                </c:pt>
                <c:pt idx="30">
                  <c:v>43.459999999999994</c:v>
                </c:pt>
                <c:pt idx="31">
                  <c:v>43.459999999999994</c:v>
                </c:pt>
              </c:numCache>
            </c:numRef>
          </c:xVal>
          <c:yVal>
            <c:numRef>
              <c:f>對的示範例2!$N$16:$N$47</c:f>
              <c:numCache>
                <c:formatCode>0.00_ </c:formatCode>
                <c:ptCount val="32"/>
                <c:pt idx="0">
                  <c:v>33.459999999999994</c:v>
                </c:pt>
                <c:pt idx="1">
                  <c:v>33.459999999999994</c:v>
                </c:pt>
                <c:pt idx="2">
                  <c:v>33.459999999999994</c:v>
                </c:pt>
                <c:pt idx="3">
                  <c:v>33.459999999999994</c:v>
                </c:pt>
                <c:pt idx="4">
                  <c:v>33.459999999999994</c:v>
                </c:pt>
                <c:pt idx="5">
                  <c:v>33.459999999999994</c:v>
                </c:pt>
                <c:pt idx="6">
                  <c:v>33.459999999999994</c:v>
                </c:pt>
                <c:pt idx="7">
                  <c:v>33.459999999999994</c:v>
                </c:pt>
                <c:pt idx="8">
                  <c:v>33.459999999999994</c:v>
                </c:pt>
                <c:pt idx="9">
                  <c:v>33.459999999999994</c:v>
                </c:pt>
                <c:pt idx="10">
                  <c:v>-33.459999999999994</c:v>
                </c:pt>
                <c:pt idx="11">
                  <c:v>-33.459999999999994</c:v>
                </c:pt>
                <c:pt idx="12">
                  <c:v>-33.459999999999994</c:v>
                </c:pt>
                <c:pt idx="13">
                  <c:v>-33.459999999999994</c:v>
                </c:pt>
                <c:pt idx="14">
                  <c:v>-33.459999999999994</c:v>
                </c:pt>
                <c:pt idx="15">
                  <c:v>-33.459999999999994</c:v>
                </c:pt>
                <c:pt idx="16">
                  <c:v>-33.459999999999994</c:v>
                </c:pt>
                <c:pt idx="17">
                  <c:v>-33.459999999999994</c:v>
                </c:pt>
                <c:pt idx="18">
                  <c:v>-33.459999999999994</c:v>
                </c:pt>
                <c:pt idx="19">
                  <c:v>-33.459999999999994</c:v>
                </c:pt>
                <c:pt idx="20">
                  <c:v>-23.899999999999995</c:v>
                </c:pt>
                <c:pt idx="21">
                  <c:v>-14.339999999999996</c:v>
                </c:pt>
                <c:pt idx="22">
                  <c:v>-4.7799999999999976</c:v>
                </c:pt>
                <c:pt idx="23">
                  <c:v>4.7800000000000011</c:v>
                </c:pt>
                <c:pt idx="24">
                  <c:v>14.340000000000003</c:v>
                </c:pt>
                <c:pt idx="25">
                  <c:v>23.9</c:v>
                </c:pt>
                <c:pt idx="26">
                  <c:v>-23.899999999999995</c:v>
                </c:pt>
                <c:pt idx="27">
                  <c:v>-14.339999999999996</c:v>
                </c:pt>
                <c:pt idx="28">
                  <c:v>-4.7799999999999976</c:v>
                </c:pt>
                <c:pt idx="29">
                  <c:v>4.7800000000000011</c:v>
                </c:pt>
                <c:pt idx="30">
                  <c:v>14.340000000000003</c:v>
                </c:pt>
                <c:pt idx="31">
                  <c:v>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FD-49B9-A62E-5D66EE691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對的示範例2!$J$19:$J$25</c:f>
              <c:numCache>
                <c:formatCode>0.00_ </c:formatCode>
                <c:ptCount val="7"/>
                <c:pt idx="0">
                  <c:v>57.988250084811781</c:v>
                </c:pt>
                <c:pt idx="1">
                  <c:v>39.221251007014729</c:v>
                </c:pt>
                <c:pt idx="2">
                  <c:v>-39.221251007014729</c:v>
                </c:pt>
                <c:pt idx="3">
                  <c:v>-57.988250084811781</c:v>
                </c:pt>
                <c:pt idx="4">
                  <c:v>-39.221251007014729</c:v>
                </c:pt>
                <c:pt idx="5">
                  <c:v>39.221251007014729</c:v>
                </c:pt>
                <c:pt idx="6">
                  <c:v>57.988250084811781</c:v>
                </c:pt>
              </c:numCache>
            </c:numRef>
          </c:xVal>
          <c:yVal>
            <c:numRef>
              <c:f>對的示範例2!$K$19:$K$25</c:f>
              <c:numCache>
                <c:formatCode>0.00_ </c:formatCode>
                <c:ptCount val="7"/>
                <c:pt idx="0">
                  <c:v>0</c:v>
                </c:pt>
                <c:pt idx="1">
                  <c:v>41.148241222035765</c:v>
                </c:pt>
                <c:pt idx="2">
                  <c:v>41.148241222035765</c:v>
                </c:pt>
                <c:pt idx="3">
                  <c:v>0</c:v>
                </c:pt>
                <c:pt idx="4">
                  <c:v>-41.148241222035765</c:v>
                </c:pt>
                <c:pt idx="5">
                  <c:v>-41.148241222035765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0-4CBD-A79F-7D654A5CCCC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對的示範例2!$O$16:$O$47</c:f>
              <c:numCache>
                <c:formatCode>0.00_ </c:formatCode>
                <c:ptCount val="32"/>
                <c:pt idx="0">
                  <c:v>-50.09654653879641</c:v>
                </c:pt>
                <c:pt idx="1">
                  <c:v>-40.708268944461352</c:v>
                </c:pt>
                <c:pt idx="2">
                  <c:v>-31.31999135012628</c:v>
                </c:pt>
                <c:pt idx="3">
                  <c:v>-21.931713755791211</c:v>
                </c:pt>
                <c:pt idx="4">
                  <c:v>-12.54343616145615</c:v>
                </c:pt>
                <c:pt idx="5">
                  <c:v>-3.1551585671210862</c:v>
                </c:pt>
                <c:pt idx="6">
                  <c:v>6.2331190272139834</c:v>
                </c:pt>
                <c:pt idx="7">
                  <c:v>15.621396621549042</c:v>
                </c:pt>
                <c:pt idx="8">
                  <c:v>25.009674215884115</c:v>
                </c:pt>
                <c:pt idx="9">
                  <c:v>34.397951810219176</c:v>
                </c:pt>
                <c:pt idx="10">
                  <c:v>-34.397951810219176</c:v>
                </c:pt>
                <c:pt idx="11">
                  <c:v>-25.009674215884122</c:v>
                </c:pt>
                <c:pt idx="12">
                  <c:v>-15.621396621549053</c:v>
                </c:pt>
                <c:pt idx="13">
                  <c:v>-6.2331190272139834</c:v>
                </c:pt>
                <c:pt idx="14">
                  <c:v>3.1551585671210791</c:v>
                </c:pt>
                <c:pt idx="15">
                  <c:v>12.543436161456142</c:v>
                </c:pt>
                <c:pt idx="16">
                  <c:v>21.931713755791211</c:v>
                </c:pt>
                <c:pt idx="17">
                  <c:v>31.319991350126269</c:v>
                </c:pt>
                <c:pt idx="18">
                  <c:v>40.708268944461345</c:v>
                </c:pt>
                <c:pt idx="19">
                  <c:v>50.09654653879641</c:v>
                </c:pt>
                <c:pt idx="20">
                  <c:v>-36.640608200015926</c:v>
                </c:pt>
                <c:pt idx="21">
                  <c:v>-38.883264589812676</c:v>
                </c:pt>
                <c:pt idx="22">
                  <c:v>-41.125920979609418</c:v>
                </c:pt>
                <c:pt idx="23">
                  <c:v>-43.368577369406168</c:v>
                </c:pt>
                <c:pt idx="24">
                  <c:v>-45.611233759202918</c:v>
                </c:pt>
                <c:pt idx="25">
                  <c:v>-47.85389014899966</c:v>
                </c:pt>
                <c:pt idx="26">
                  <c:v>47.85389014899966</c:v>
                </c:pt>
                <c:pt idx="27">
                  <c:v>45.611233759202911</c:v>
                </c:pt>
                <c:pt idx="28">
                  <c:v>43.368577369406168</c:v>
                </c:pt>
                <c:pt idx="29">
                  <c:v>41.125920979609418</c:v>
                </c:pt>
                <c:pt idx="30">
                  <c:v>38.883264589812669</c:v>
                </c:pt>
                <c:pt idx="31">
                  <c:v>36.640608200015926</c:v>
                </c:pt>
              </c:numCache>
            </c:numRef>
          </c:xVal>
          <c:yVal>
            <c:numRef>
              <c:f>對的示範例2!$P$16:$P$47</c:f>
              <c:numCache>
                <c:formatCode>0.00_ </c:formatCode>
                <c:ptCount val="32"/>
                <c:pt idx="0" formatCode="0.000_ ">
                  <c:v>22.331126816311901</c:v>
                </c:pt>
                <c:pt idx="1">
                  <c:v>24.596720649425958</c:v>
                </c:pt>
                <c:pt idx="2">
                  <c:v>26.862314482540011</c:v>
                </c:pt>
                <c:pt idx="3">
                  <c:v>29.127908315654068</c:v>
                </c:pt>
                <c:pt idx="4">
                  <c:v>31.393502148768121</c:v>
                </c:pt>
                <c:pt idx="5">
                  <c:v>33.659095981882174</c:v>
                </c:pt>
                <c:pt idx="6">
                  <c:v>35.924689814996228</c:v>
                </c:pt>
                <c:pt idx="7">
                  <c:v>38.190283648110281</c:v>
                </c:pt>
                <c:pt idx="8">
                  <c:v>40.455877481224334</c:v>
                </c:pt>
                <c:pt idx="9">
                  <c:v>42.721471314338395</c:v>
                </c:pt>
                <c:pt idx="10">
                  <c:v>-42.721471314338395</c:v>
                </c:pt>
                <c:pt idx="11">
                  <c:v>-40.455877481224341</c:v>
                </c:pt>
                <c:pt idx="12">
                  <c:v>-38.190283648110281</c:v>
                </c:pt>
                <c:pt idx="13">
                  <c:v>-35.924689814996228</c:v>
                </c:pt>
                <c:pt idx="14">
                  <c:v>-33.659095981882174</c:v>
                </c:pt>
                <c:pt idx="15">
                  <c:v>-31.393502148768121</c:v>
                </c:pt>
                <c:pt idx="16">
                  <c:v>-29.127908315654068</c:v>
                </c:pt>
                <c:pt idx="17">
                  <c:v>-26.862314482540015</c:v>
                </c:pt>
                <c:pt idx="18">
                  <c:v>-24.596720649425958</c:v>
                </c:pt>
                <c:pt idx="19">
                  <c:v>-22.331126816311901</c:v>
                </c:pt>
                <c:pt idx="20">
                  <c:v>-33.428243009959779</c:v>
                </c:pt>
                <c:pt idx="21">
                  <c:v>-24.135014705581163</c:v>
                </c:pt>
                <c:pt idx="22">
                  <c:v>-14.841786401202551</c:v>
                </c:pt>
                <c:pt idx="23">
                  <c:v>-5.5485580968239363</c:v>
                </c:pt>
                <c:pt idx="24">
                  <c:v>3.7446702075546803</c:v>
                </c:pt>
                <c:pt idx="25">
                  <c:v>13.037898511933291</c:v>
                </c:pt>
                <c:pt idx="26">
                  <c:v>-13.037898511933287</c:v>
                </c:pt>
                <c:pt idx="27">
                  <c:v>-3.7446702075546732</c:v>
                </c:pt>
                <c:pt idx="28">
                  <c:v>5.5485580968239399</c:v>
                </c:pt>
                <c:pt idx="29">
                  <c:v>14.841786401202555</c:v>
                </c:pt>
                <c:pt idx="30">
                  <c:v>24.13501470558117</c:v>
                </c:pt>
                <c:pt idx="31">
                  <c:v>33.428243009959779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20-4CBD-A79F-7D654A5CC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對的示範例2!$O$16:$O$47</c:f>
              <c:numCache>
                <c:formatCode>0.00_ </c:formatCode>
                <c:ptCount val="32"/>
                <c:pt idx="0">
                  <c:v>-50.09654653879641</c:v>
                </c:pt>
                <c:pt idx="1">
                  <c:v>-40.708268944461352</c:v>
                </c:pt>
                <c:pt idx="2">
                  <c:v>-31.31999135012628</c:v>
                </c:pt>
                <c:pt idx="3">
                  <c:v>-21.931713755791211</c:v>
                </c:pt>
                <c:pt idx="4">
                  <c:v>-12.54343616145615</c:v>
                </c:pt>
                <c:pt idx="5">
                  <c:v>-3.1551585671210862</c:v>
                </c:pt>
                <c:pt idx="6">
                  <c:v>6.2331190272139834</c:v>
                </c:pt>
                <c:pt idx="7">
                  <c:v>15.621396621549042</c:v>
                </c:pt>
                <c:pt idx="8">
                  <c:v>25.009674215884115</c:v>
                </c:pt>
                <c:pt idx="9">
                  <c:v>34.397951810219176</c:v>
                </c:pt>
                <c:pt idx="10">
                  <c:v>-34.397951810219176</c:v>
                </c:pt>
                <c:pt idx="11">
                  <c:v>-25.009674215884122</c:v>
                </c:pt>
                <c:pt idx="12">
                  <c:v>-15.621396621549053</c:v>
                </c:pt>
                <c:pt idx="13">
                  <c:v>-6.2331190272139834</c:v>
                </c:pt>
                <c:pt idx="14">
                  <c:v>3.1551585671210791</c:v>
                </c:pt>
                <c:pt idx="15">
                  <c:v>12.543436161456142</c:v>
                </c:pt>
                <c:pt idx="16">
                  <c:v>21.931713755791211</c:v>
                </c:pt>
                <c:pt idx="17">
                  <c:v>31.319991350126269</c:v>
                </c:pt>
                <c:pt idx="18">
                  <c:v>40.708268944461345</c:v>
                </c:pt>
                <c:pt idx="19">
                  <c:v>50.09654653879641</c:v>
                </c:pt>
                <c:pt idx="20">
                  <c:v>-36.640608200015926</c:v>
                </c:pt>
                <c:pt idx="21">
                  <c:v>-38.883264589812676</c:v>
                </c:pt>
                <c:pt idx="22">
                  <c:v>-41.125920979609418</c:v>
                </c:pt>
                <c:pt idx="23">
                  <c:v>-43.368577369406168</c:v>
                </c:pt>
                <c:pt idx="24">
                  <c:v>-45.611233759202918</c:v>
                </c:pt>
                <c:pt idx="25">
                  <c:v>-47.85389014899966</c:v>
                </c:pt>
                <c:pt idx="26">
                  <c:v>47.85389014899966</c:v>
                </c:pt>
                <c:pt idx="27">
                  <c:v>45.611233759202911</c:v>
                </c:pt>
                <c:pt idx="28">
                  <c:v>43.368577369406168</c:v>
                </c:pt>
                <c:pt idx="29">
                  <c:v>41.125920979609418</c:v>
                </c:pt>
                <c:pt idx="30">
                  <c:v>38.883264589812669</c:v>
                </c:pt>
                <c:pt idx="31">
                  <c:v>36.640608200015926</c:v>
                </c:pt>
              </c:numCache>
            </c:numRef>
          </c:xVal>
          <c:yVal>
            <c:numRef>
              <c:f>對的示範例2!$X$16:$X$47</c:f>
              <c:numCache>
                <c:formatCode>0.00_ </c:formatCode>
                <c:ptCount val="32"/>
                <c:pt idx="0">
                  <c:v>-21407.4</c:v>
                </c:pt>
                <c:pt idx="1">
                  <c:v>-21407.4</c:v>
                </c:pt>
                <c:pt idx="2">
                  <c:v>-21407.4</c:v>
                </c:pt>
                <c:pt idx="3">
                  <c:v>-21407.4</c:v>
                </c:pt>
                <c:pt idx="4">
                  <c:v>-21407.4</c:v>
                </c:pt>
                <c:pt idx="5">
                  <c:v>-21407.4</c:v>
                </c:pt>
                <c:pt idx="6">
                  <c:v>-21407.4</c:v>
                </c:pt>
                <c:pt idx="7">
                  <c:v>-21407.4</c:v>
                </c:pt>
                <c:pt idx="8">
                  <c:v>-10125.1303419874</c:v>
                </c:pt>
                <c:pt idx="9">
                  <c:v>1637.4177851660011</c:v>
                </c:pt>
                <c:pt idx="10">
                  <c:v>-21407.4</c:v>
                </c:pt>
                <c:pt idx="11">
                  <c:v>-21407.4</c:v>
                </c:pt>
                <c:pt idx="12">
                  <c:v>-21407.4</c:v>
                </c:pt>
                <c:pt idx="13">
                  <c:v>-21407.4</c:v>
                </c:pt>
                <c:pt idx="14">
                  <c:v>-21407.4</c:v>
                </c:pt>
                <c:pt idx="15">
                  <c:v>-21407.4</c:v>
                </c:pt>
                <c:pt idx="16">
                  <c:v>-13981.498848552385</c:v>
                </c:pt>
                <c:pt idx="17">
                  <c:v>-2218.950721280275</c:v>
                </c:pt>
                <c:pt idx="18">
                  <c:v>8330.5114059048992</c:v>
                </c:pt>
                <c:pt idx="19">
                  <c:v>20093.059533224259</c:v>
                </c:pt>
                <c:pt idx="20">
                  <c:v>-21407.4</c:v>
                </c:pt>
                <c:pt idx="21">
                  <c:v>-21407.4</c:v>
                </c:pt>
                <c:pt idx="22">
                  <c:v>-21407.4</c:v>
                </c:pt>
                <c:pt idx="23">
                  <c:v>-21407.4</c:v>
                </c:pt>
                <c:pt idx="24">
                  <c:v>-21407.4</c:v>
                </c:pt>
                <c:pt idx="25">
                  <c:v>-21407.4</c:v>
                </c:pt>
                <c:pt idx="26">
                  <c:v>17283.241283501648</c:v>
                </c:pt>
                <c:pt idx="27">
                  <c:v>14473.423033779036</c:v>
                </c:pt>
                <c:pt idx="28">
                  <c:v>11663.604784056437</c:v>
                </c:pt>
                <c:pt idx="29">
                  <c:v>8853.7865343338235</c:v>
                </c:pt>
                <c:pt idx="30">
                  <c:v>6043.9682846112128</c:v>
                </c:pt>
                <c:pt idx="31">
                  <c:v>4447.2360348886114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6E-440D-9B0D-EB76085E66EB}"/>
            </c:ext>
          </c:extLst>
        </c:ser>
        <c:ser>
          <c:idx val="1"/>
          <c:order val="1"/>
          <c:tx>
            <c:v>Cc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對的示範例2!$Q$22:$Q$25</c:f>
              <c:numCache>
                <c:formatCode>0.00_ </c:formatCode>
                <c:ptCount val="4"/>
                <c:pt idx="0">
                  <c:v>36.825627319856487</c:v>
                </c:pt>
                <c:pt idx="1">
                  <c:v>36.825627319856487</c:v>
                </c:pt>
                <c:pt idx="2">
                  <c:v>57.988250084811781</c:v>
                </c:pt>
                <c:pt idx="3">
                  <c:v>57.988250084811781</c:v>
                </c:pt>
              </c:numCache>
            </c:numRef>
          </c:xVal>
          <c:yVal>
            <c:numRef>
              <c:f>對的示範例2!$R$22:$R$25</c:f>
              <c:numCache>
                <c:formatCode>0_ </c:formatCode>
                <c:ptCount val="4"/>
                <c:pt idx="0" formatCode="0.00_ ">
                  <c:v>0</c:v>
                </c:pt>
                <c:pt idx="1">
                  <c:v>2307.1253705324202</c:v>
                </c:pt>
                <c:pt idx="2">
                  <c:v>2307.1253705324202</c:v>
                </c:pt>
                <c:pt idx="3" formatCode="0.00_ 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6E-440D-9B0D-EB76085E6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807039"/>
        <c:axId val="2048813279"/>
      </c:scatterChart>
      <c:valAx>
        <c:axId val="204880703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crossAx val="2048813279"/>
        <c:crosses val="autoZero"/>
        <c:crossBetween val="midCat"/>
      </c:valAx>
      <c:valAx>
        <c:axId val="204881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80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對的示範例3!$K$2:$K$6</c:f>
              <c:numCache>
                <c:formatCode>0.00_ </c:formatCode>
                <c:ptCount val="5"/>
                <c:pt idx="0">
                  <c:v>-34.881759761434985</c:v>
                </c:pt>
                <c:pt idx="1">
                  <c:v>60.043335102515094</c:v>
                </c:pt>
                <c:pt idx="2">
                  <c:v>34.881759761434985</c:v>
                </c:pt>
                <c:pt idx="3">
                  <c:v>-60.043335102515094</c:v>
                </c:pt>
                <c:pt idx="4">
                  <c:v>-34.881759761434985</c:v>
                </c:pt>
              </c:numCache>
            </c:numRef>
          </c:xVal>
          <c:yVal>
            <c:numRef>
              <c:f>對的示範例3!$L$2:$L$6</c:f>
              <c:numCache>
                <c:formatCode>0.00_ </c:formatCode>
                <c:ptCount val="5"/>
                <c:pt idx="0">
                  <c:v>-53.696022533755098</c:v>
                </c:pt>
                <c:pt idx="1">
                  <c:v>-22.244053357404965</c:v>
                </c:pt>
                <c:pt idx="2">
                  <c:v>53.696022533755098</c:v>
                </c:pt>
                <c:pt idx="3">
                  <c:v>22.244053357404965</c:v>
                </c:pt>
                <c:pt idx="4">
                  <c:v>-53.696022533755098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6-4688-82F7-09661B17D46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對的示範例3!$O$16:$O$47</c:f>
              <c:numCache>
                <c:formatCode>0.00_ </c:formatCode>
                <c:ptCount val="32"/>
                <c:pt idx="0">
                  <c:v>-51.778275114279452</c:v>
                </c:pt>
                <c:pt idx="1">
                  <c:v>-42.610620396974412</c:v>
                </c:pt>
                <c:pt idx="2">
                  <c:v>-33.442965679669364</c:v>
                </c:pt>
                <c:pt idx="3">
                  <c:v>-24.275310962364323</c:v>
                </c:pt>
                <c:pt idx="4">
                  <c:v>-15.107656245059278</c:v>
                </c:pt>
                <c:pt idx="5">
                  <c:v>-5.9400015277542364</c:v>
                </c:pt>
                <c:pt idx="6">
                  <c:v>3.2276531895508125</c:v>
                </c:pt>
                <c:pt idx="7">
                  <c:v>12.395307906855848</c:v>
                </c:pt>
                <c:pt idx="8">
                  <c:v>21.562962624160896</c:v>
                </c:pt>
                <c:pt idx="9">
                  <c:v>30.730617341465944</c:v>
                </c:pt>
                <c:pt idx="10">
                  <c:v>-30.730617341465944</c:v>
                </c:pt>
                <c:pt idx="11">
                  <c:v>-21.562962624160903</c:v>
                </c:pt>
                <c:pt idx="12">
                  <c:v>-12.395307906855855</c:v>
                </c:pt>
                <c:pt idx="13">
                  <c:v>-3.2276531895508125</c:v>
                </c:pt>
                <c:pt idx="14">
                  <c:v>5.9400015277542302</c:v>
                </c:pt>
                <c:pt idx="15">
                  <c:v>15.107656245059271</c:v>
                </c:pt>
                <c:pt idx="16">
                  <c:v>24.275310962364323</c:v>
                </c:pt>
                <c:pt idx="17">
                  <c:v>33.442965679669356</c:v>
                </c:pt>
                <c:pt idx="18">
                  <c:v>42.610620396974404</c:v>
                </c:pt>
                <c:pt idx="19">
                  <c:v>51.778275114279452</c:v>
                </c:pt>
                <c:pt idx="20">
                  <c:v>-33.737425594725018</c:v>
                </c:pt>
                <c:pt idx="21">
                  <c:v>-36.744233847984091</c:v>
                </c:pt>
                <c:pt idx="22">
                  <c:v>-39.751042101243165</c:v>
                </c:pt>
                <c:pt idx="23">
                  <c:v>-42.757850354502239</c:v>
                </c:pt>
                <c:pt idx="24">
                  <c:v>-45.764658607761305</c:v>
                </c:pt>
                <c:pt idx="25">
                  <c:v>-48.771466861020379</c:v>
                </c:pt>
                <c:pt idx="26">
                  <c:v>48.771466861020379</c:v>
                </c:pt>
                <c:pt idx="27">
                  <c:v>45.764658607761305</c:v>
                </c:pt>
                <c:pt idx="28">
                  <c:v>42.757850354502231</c:v>
                </c:pt>
                <c:pt idx="29">
                  <c:v>39.751042101243158</c:v>
                </c:pt>
                <c:pt idx="30">
                  <c:v>36.744233847984091</c:v>
                </c:pt>
                <c:pt idx="31">
                  <c:v>33.737425594725018</c:v>
                </c:pt>
              </c:numCache>
            </c:numRef>
          </c:xVal>
          <c:yVal>
            <c:numRef>
              <c:f>對的示範例3!$P$16:$P$47</c:f>
              <c:numCache>
                <c:formatCode>0.00_ </c:formatCode>
                <c:ptCount val="32"/>
                <c:pt idx="0" formatCode="0.000_ ">
                  <c:v>18.092910937435924</c:v>
                </c:pt>
                <c:pt idx="1">
                  <c:v>21.130472227222981</c:v>
                </c:pt>
                <c:pt idx="2">
                  <c:v>24.168033517010041</c:v>
                </c:pt>
                <c:pt idx="3">
                  <c:v>27.205594806797102</c:v>
                </c:pt>
                <c:pt idx="4">
                  <c:v>30.243156096584158</c:v>
                </c:pt>
                <c:pt idx="5">
                  <c:v>33.280717386371215</c:v>
                </c:pt>
                <c:pt idx="6">
                  <c:v>36.318278676158279</c:v>
                </c:pt>
                <c:pt idx="7">
                  <c:v>39.355839965945336</c:v>
                </c:pt>
                <c:pt idx="8">
                  <c:v>42.3934012557324</c:v>
                </c:pt>
                <c:pt idx="9">
                  <c:v>45.430962545519456</c:v>
                </c:pt>
                <c:pt idx="10">
                  <c:v>-45.430962545519456</c:v>
                </c:pt>
                <c:pt idx="11">
                  <c:v>-42.3934012557324</c:v>
                </c:pt>
                <c:pt idx="12">
                  <c:v>-39.355839965945336</c:v>
                </c:pt>
                <c:pt idx="13">
                  <c:v>-36.318278676158279</c:v>
                </c:pt>
                <c:pt idx="14">
                  <c:v>-33.280717386371222</c:v>
                </c:pt>
                <c:pt idx="15">
                  <c:v>-30.243156096584162</c:v>
                </c:pt>
                <c:pt idx="16">
                  <c:v>-27.205594806797102</c:v>
                </c:pt>
                <c:pt idx="17">
                  <c:v>-24.168033517010045</c:v>
                </c:pt>
                <c:pt idx="18">
                  <c:v>-21.130472227222985</c:v>
                </c:pt>
                <c:pt idx="19">
                  <c:v>-18.092910937435924</c:v>
                </c:pt>
                <c:pt idx="20">
                  <c:v>-36.356123476525831</c:v>
                </c:pt>
                <c:pt idx="21">
                  <c:v>-27.281284407532205</c:v>
                </c:pt>
                <c:pt idx="22">
                  <c:v>-18.206445338538579</c:v>
                </c:pt>
                <c:pt idx="23">
                  <c:v>-9.1316062695449531</c:v>
                </c:pt>
                <c:pt idx="24">
                  <c:v>-5.6767200551323782E-2</c:v>
                </c:pt>
                <c:pt idx="25">
                  <c:v>9.0180718684423002</c:v>
                </c:pt>
                <c:pt idx="26">
                  <c:v>-9.0180718684422967</c:v>
                </c:pt>
                <c:pt idx="27">
                  <c:v>5.6767200551330887E-2</c:v>
                </c:pt>
                <c:pt idx="28">
                  <c:v>9.1316062695449567</c:v>
                </c:pt>
                <c:pt idx="29">
                  <c:v>18.206445338538582</c:v>
                </c:pt>
                <c:pt idx="30">
                  <c:v>27.281284407532212</c:v>
                </c:pt>
                <c:pt idx="31">
                  <c:v>36.356123476525838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56-4688-82F7-09661B17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對的示範例3!$H$2:$H$6</c:f>
              <c:numCache>
                <c:formatCode>0.00_ </c:formatCode>
                <c:ptCount val="5"/>
                <c:pt idx="0">
                  <c:v>-50</c:v>
                </c:pt>
                <c:pt idx="1">
                  <c:v>50</c:v>
                </c:pt>
                <c:pt idx="2">
                  <c:v>50</c:v>
                </c:pt>
                <c:pt idx="3">
                  <c:v>-50</c:v>
                </c:pt>
                <c:pt idx="4">
                  <c:v>-50</c:v>
                </c:pt>
              </c:numCache>
            </c:numRef>
          </c:xVal>
          <c:yVal>
            <c:numRef>
              <c:f>對的示範例3!$I$2:$I$6</c:f>
              <c:numCache>
                <c:formatCode>0.00_ 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40</c:v>
                </c:pt>
                <c:pt idx="3">
                  <c:v>40</c:v>
                </c:pt>
                <c:pt idx="4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5A-435D-8EDC-858002E0B39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對的示範例3!$M$16:$M$47</c:f>
              <c:numCache>
                <c:formatCode>0.00_ </c:formatCode>
                <c:ptCount val="32"/>
                <c:pt idx="0">
                  <c:v>-43.459999999999994</c:v>
                </c:pt>
                <c:pt idx="1">
                  <c:v>-33.80222222222222</c:v>
                </c:pt>
                <c:pt idx="2">
                  <c:v>-24.144444444444442</c:v>
                </c:pt>
                <c:pt idx="3">
                  <c:v>-14.486666666666665</c:v>
                </c:pt>
                <c:pt idx="4">
                  <c:v>-4.8288888888888906</c:v>
                </c:pt>
                <c:pt idx="5">
                  <c:v>4.8288888888888835</c:v>
                </c:pt>
                <c:pt idx="6">
                  <c:v>14.486666666666665</c:v>
                </c:pt>
                <c:pt idx="7">
                  <c:v>24.144444444444431</c:v>
                </c:pt>
                <c:pt idx="8" formatCode="0_ ">
                  <c:v>33.802222222222213</c:v>
                </c:pt>
                <c:pt idx="9">
                  <c:v>43.459999999999994</c:v>
                </c:pt>
                <c:pt idx="10">
                  <c:v>-43.459999999999994</c:v>
                </c:pt>
                <c:pt idx="11">
                  <c:v>-33.80222222222222</c:v>
                </c:pt>
                <c:pt idx="12">
                  <c:v>-24.144444444444442</c:v>
                </c:pt>
                <c:pt idx="13">
                  <c:v>-14.486666666666665</c:v>
                </c:pt>
                <c:pt idx="14">
                  <c:v>-4.8288888888888906</c:v>
                </c:pt>
                <c:pt idx="15">
                  <c:v>4.8288888888888835</c:v>
                </c:pt>
                <c:pt idx="16">
                  <c:v>14.486666666666665</c:v>
                </c:pt>
                <c:pt idx="17">
                  <c:v>24.144444444444431</c:v>
                </c:pt>
                <c:pt idx="18">
                  <c:v>33.802222222222213</c:v>
                </c:pt>
                <c:pt idx="19">
                  <c:v>43.459999999999994</c:v>
                </c:pt>
                <c:pt idx="20">
                  <c:v>-43.459999999999994</c:v>
                </c:pt>
                <c:pt idx="21">
                  <c:v>-43.459999999999994</c:v>
                </c:pt>
                <c:pt idx="22">
                  <c:v>-43.459999999999994</c:v>
                </c:pt>
                <c:pt idx="23">
                  <c:v>-43.459999999999994</c:v>
                </c:pt>
                <c:pt idx="24">
                  <c:v>-43.459999999999994</c:v>
                </c:pt>
                <c:pt idx="25">
                  <c:v>-43.459999999999994</c:v>
                </c:pt>
                <c:pt idx="26">
                  <c:v>43.459999999999994</c:v>
                </c:pt>
                <c:pt idx="27">
                  <c:v>43.459999999999994</c:v>
                </c:pt>
                <c:pt idx="28">
                  <c:v>43.459999999999994</c:v>
                </c:pt>
                <c:pt idx="29">
                  <c:v>43.459999999999994</c:v>
                </c:pt>
                <c:pt idx="30">
                  <c:v>43.459999999999994</c:v>
                </c:pt>
                <c:pt idx="31">
                  <c:v>43.459999999999994</c:v>
                </c:pt>
              </c:numCache>
            </c:numRef>
          </c:xVal>
          <c:yVal>
            <c:numRef>
              <c:f>對的示範例3!$N$16:$N$47</c:f>
              <c:numCache>
                <c:formatCode>0.00_ </c:formatCode>
                <c:ptCount val="32"/>
                <c:pt idx="0">
                  <c:v>33.459999999999994</c:v>
                </c:pt>
                <c:pt idx="1">
                  <c:v>33.459999999999994</c:v>
                </c:pt>
                <c:pt idx="2">
                  <c:v>33.459999999999994</c:v>
                </c:pt>
                <c:pt idx="3">
                  <c:v>33.459999999999994</c:v>
                </c:pt>
                <c:pt idx="4">
                  <c:v>33.459999999999994</c:v>
                </c:pt>
                <c:pt idx="5">
                  <c:v>33.459999999999994</c:v>
                </c:pt>
                <c:pt idx="6">
                  <c:v>33.459999999999994</c:v>
                </c:pt>
                <c:pt idx="7">
                  <c:v>33.459999999999994</c:v>
                </c:pt>
                <c:pt idx="8">
                  <c:v>33.459999999999994</c:v>
                </c:pt>
                <c:pt idx="9">
                  <c:v>33.459999999999994</c:v>
                </c:pt>
                <c:pt idx="10">
                  <c:v>-33.459999999999994</c:v>
                </c:pt>
                <c:pt idx="11">
                  <c:v>-33.459999999999994</c:v>
                </c:pt>
                <c:pt idx="12">
                  <c:v>-33.459999999999994</c:v>
                </c:pt>
                <c:pt idx="13">
                  <c:v>-33.459999999999994</c:v>
                </c:pt>
                <c:pt idx="14">
                  <c:v>-33.459999999999994</c:v>
                </c:pt>
                <c:pt idx="15">
                  <c:v>-33.459999999999994</c:v>
                </c:pt>
                <c:pt idx="16">
                  <c:v>-33.459999999999994</c:v>
                </c:pt>
                <c:pt idx="17">
                  <c:v>-33.459999999999994</c:v>
                </c:pt>
                <c:pt idx="18">
                  <c:v>-33.459999999999994</c:v>
                </c:pt>
                <c:pt idx="19">
                  <c:v>-33.459999999999994</c:v>
                </c:pt>
                <c:pt idx="20">
                  <c:v>-23.899999999999995</c:v>
                </c:pt>
                <c:pt idx="21">
                  <c:v>-14.339999999999996</c:v>
                </c:pt>
                <c:pt idx="22">
                  <c:v>-4.7799999999999976</c:v>
                </c:pt>
                <c:pt idx="23">
                  <c:v>4.7800000000000011</c:v>
                </c:pt>
                <c:pt idx="24">
                  <c:v>14.340000000000003</c:v>
                </c:pt>
                <c:pt idx="25">
                  <c:v>23.9</c:v>
                </c:pt>
                <c:pt idx="26">
                  <c:v>-23.899999999999995</c:v>
                </c:pt>
                <c:pt idx="27">
                  <c:v>-14.339999999999996</c:v>
                </c:pt>
                <c:pt idx="28">
                  <c:v>-4.7799999999999976</c:v>
                </c:pt>
                <c:pt idx="29">
                  <c:v>4.7800000000000011</c:v>
                </c:pt>
                <c:pt idx="30">
                  <c:v>14.340000000000003</c:v>
                </c:pt>
                <c:pt idx="31">
                  <c:v>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5A-435D-8EDC-858002E0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對的示範例3!$J$19:$J$25</c:f>
              <c:numCache>
                <c:formatCode>0.00_ </c:formatCode>
                <c:ptCount val="7"/>
                <c:pt idx="0">
                  <c:v>60.043335102515094</c:v>
                </c:pt>
                <c:pt idx="1">
                  <c:v>34.881759761434985</c:v>
                </c:pt>
                <c:pt idx="2">
                  <c:v>-34.881759761434985</c:v>
                </c:pt>
                <c:pt idx="3">
                  <c:v>-60.043335102515094</c:v>
                </c:pt>
                <c:pt idx="4">
                  <c:v>-34.881759761434985</c:v>
                </c:pt>
                <c:pt idx="5">
                  <c:v>34.881759761434985</c:v>
                </c:pt>
                <c:pt idx="6">
                  <c:v>60.043335102515094</c:v>
                </c:pt>
              </c:numCache>
            </c:numRef>
          </c:xVal>
          <c:yVal>
            <c:numRef>
              <c:f>對的示範例3!$K$19:$K$25</c:f>
              <c:numCache>
                <c:formatCode>0.00_ </c:formatCode>
                <c:ptCount val="7"/>
                <c:pt idx="0">
                  <c:v>0</c:v>
                </c:pt>
                <c:pt idx="1">
                  <c:v>42.138488307368618</c:v>
                </c:pt>
                <c:pt idx="2">
                  <c:v>42.138488307368618</c:v>
                </c:pt>
                <c:pt idx="3">
                  <c:v>0</c:v>
                </c:pt>
                <c:pt idx="4">
                  <c:v>-42.138488307368618</c:v>
                </c:pt>
                <c:pt idx="5">
                  <c:v>-42.138488307368618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D7-4BC3-8F5F-14DA4A66891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對的示範例3!$O$16:$O$47</c:f>
              <c:numCache>
                <c:formatCode>0.00_ </c:formatCode>
                <c:ptCount val="32"/>
                <c:pt idx="0">
                  <c:v>-51.778275114279452</c:v>
                </c:pt>
                <c:pt idx="1">
                  <c:v>-42.610620396974412</c:v>
                </c:pt>
                <c:pt idx="2">
                  <c:v>-33.442965679669364</c:v>
                </c:pt>
                <c:pt idx="3">
                  <c:v>-24.275310962364323</c:v>
                </c:pt>
                <c:pt idx="4">
                  <c:v>-15.107656245059278</c:v>
                </c:pt>
                <c:pt idx="5">
                  <c:v>-5.9400015277542364</c:v>
                </c:pt>
                <c:pt idx="6">
                  <c:v>3.2276531895508125</c:v>
                </c:pt>
                <c:pt idx="7">
                  <c:v>12.395307906855848</c:v>
                </c:pt>
                <c:pt idx="8">
                  <c:v>21.562962624160896</c:v>
                </c:pt>
                <c:pt idx="9">
                  <c:v>30.730617341465944</c:v>
                </c:pt>
                <c:pt idx="10">
                  <c:v>-30.730617341465944</c:v>
                </c:pt>
                <c:pt idx="11">
                  <c:v>-21.562962624160903</c:v>
                </c:pt>
                <c:pt idx="12">
                  <c:v>-12.395307906855855</c:v>
                </c:pt>
                <c:pt idx="13">
                  <c:v>-3.2276531895508125</c:v>
                </c:pt>
                <c:pt idx="14">
                  <c:v>5.9400015277542302</c:v>
                </c:pt>
                <c:pt idx="15">
                  <c:v>15.107656245059271</c:v>
                </c:pt>
                <c:pt idx="16">
                  <c:v>24.275310962364323</c:v>
                </c:pt>
                <c:pt idx="17">
                  <c:v>33.442965679669356</c:v>
                </c:pt>
                <c:pt idx="18">
                  <c:v>42.610620396974404</c:v>
                </c:pt>
                <c:pt idx="19">
                  <c:v>51.778275114279452</c:v>
                </c:pt>
                <c:pt idx="20">
                  <c:v>-33.737425594725018</c:v>
                </c:pt>
                <c:pt idx="21">
                  <c:v>-36.744233847984091</c:v>
                </c:pt>
                <c:pt idx="22">
                  <c:v>-39.751042101243165</c:v>
                </c:pt>
                <c:pt idx="23">
                  <c:v>-42.757850354502239</c:v>
                </c:pt>
                <c:pt idx="24">
                  <c:v>-45.764658607761305</c:v>
                </c:pt>
                <c:pt idx="25">
                  <c:v>-48.771466861020379</c:v>
                </c:pt>
                <c:pt idx="26">
                  <c:v>48.771466861020379</c:v>
                </c:pt>
                <c:pt idx="27">
                  <c:v>45.764658607761305</c:v>
                </c:pt>
                <c:pt idx="28">
                  <c:v>42.757850354502231</c:v>
                </c:pt>
                <c:pt idx="29">
                  <c:v>39.751042101243158</c:v>
                </c:pt>
                <c:pt idx="30">
                  <c:v>36.744233847984091</c:v>
                </c:pt>
                <c:pt idx="31">
                  <c:v>33.737425594725018</c:v>
                </c:pt>
              </c:numCache>
            </c:numRef>
          </c:xVal>
          <c:yVal>
            <c:numRef>
              <c:f>對的示範例3!$P$16:$P$47</c:f>
              <c:numCache>
                <c:formatCode>0.00_ </c:formatCode>
                <c:ptCount val="32"/>
                <c:pt idx="0" formatCode="0.000_ ">
                  <c:v>18.092910937435924</c:v>
                </c:pt>
                <c:pt idx="1">
                  <c:v>21.130472227222981</c:v>
                </c:pt>
                <c:pt idx="2">
                  <c:v>24.168033517010041</c:v>
                </c:pt>
                <c:pt idx="3">
                  <c:v>27.205594806797102</c:v>
                </c:pt>
                <c:pt idx="4">
                  <c:v>30.243156096584158</c:v>
                </c:pt>
                <c:pt idx="5">
                  <c:v>33.280717386371215</c:v>
                </c:pt>
                <c:pt idx="6">
                  <c:v>36.318278676158279</c:v>
                </c:pt>
                <c:pt idx="7">
                  <c:v>39.355839965945336</c:v>
                </c:pt>
                <c:pt idx="8">
                  <c:v>42.3934012557324</c:v>
                </c:pt>
                <c:pt idx="9">
                  <c:v>45.430962545519456</c:v>
                </c:pt>
                <c:pt idx="10">
                  <c:v>-45.430962545519456</c:v>
                </c:pt>
                <c:pt idx="11">
                  <c:v>-42.3934012557324</c:v>
                </c:pt>
                <c:pt idx="12">
                  <c:v>-39.355839965945336</c:v>
                </c:pt>
                <c:pt idx="13">
                  <c:v>-36.318278676158279</c:v>
                </c:pt>
                <c:pt idx="14">
                  <c:v>-33.280717386371222</c:v>
                </c:pt>
                <c:pt idx="15">
                  <c:v>-30.243156096584162</c:v>
                </c:pt>
                <c:pt idx="16">
                  <c:v>-27.205594806797102</c:v>
                </c:pt>
                <c:pt idx="17">
                  <c:v>-24.168033517010045</c:v>
                </c:pt>
                <c:pt idx="18">
                  <c:v>-21.130472227222985</c:v>
                </c:pt>
                <c:pt idx="19">
                  <c:v>-18.092910937435924</c:v>
                </c:pt>
                <c:pt idx="20">
                  <c:v>-36.356123476525831</c:v>
                </c:pt>
                <c:pt idx="21">
                  <c:v>-27.281284407532205</c:v>
                </c:pt>
                <c:pt idx="22">
                  <c:v>-18.206445338538579</c:v>
                </c:pt>
                <c:pt idx="23">
                  <c:v>-9.1316062695449531</c:v>
                </c:pt>
                <c:pt idx="24">
                  <c:v>-5.6767200551323782E-2</c:v>
                </c:pt>
                <c:pt idx="25">
                  <c:v>9.0180718684423002</c:v>
                </c:pt>
                <c:pt idx="26">
                  <c:v>-9.0180718684422967</c:v>
                </c:pt>
                <c:pt idx="27">
                  <c:v>5.6767200551330887E-2</c:v>
                </c:pt>
                <c:pt idx="28">
                  <c:v>9.1316062695449567</c:v>
                </c:pt>
                <c:pt idx="29">
                  <c:v>18.206445338538582</c:v>
                </c:pt>
                <c:pt idx="30">
                  <c:v>27.281284407532212</c:v>
                </c:pt>
                <c:pt idx="31">
                  <c:v>36.356123476525838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D7-4BC3-8F5F-14DA4A668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198367"/>
        <c:axId val="2048191647"/>
      </c:scatterChart>
      <c:valAx>
        <c:axId val="204819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1647"/>
        <c:crosses val="autoZero"/>
        <c:crossBetween val="midCat"/>
      </c:valAx>
      <c:valAx>
        <c:axId val="20481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1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對的示範例3!$O$16:$O$47</c:f>
              <c:numCache>
                <c:formatCode>0.00_ </c:formatCode>
                <c:ptCount val="32"/>
                <c:pt idx="0">
                  <c:v>-51.778275114279452</c:v>
                </c:pt>
                <c:pt idx="1">
                  <c:v>-42.610620396974412</c:v>
                </c:pt>
                <c:pt idx="2">
                  <c:v>-33.442965679669364</c:v>
                </c:pt>
                <c:pt idx="3">
                  <c:v>-24.275310962364323</c:v>
                </c:pt>
                <c:pt idx="4">
                  <c:v>-15.107656245059278</c:v>
                </c:pt>
                <c:pt idx="5">
                  <c:v>-5.9400015277542364</c:v>
                </c:pt>
                <c:pt idx="6">
                  <c:v>3.2276531895508125</c:v>
                </c:pt>
                <c:pt idx="7">
                  <c:v>12.395307906855848</c:v>
                </c:pt>
                <c:pt idx="8">
                  <c:v>21.562962624160896</c:v>
                </c:pt>
                <c:pt idx="9">
                  <c:v>30.730617341465944</c:v>
                </c:pt>
                <c:pt idx="10">
                  <c:v>-30.730617341465944</c:v>
                </c:pt>
                <c:pt idx="11">
                  <c:v>-21.562962624160903</c:v>
                </c:pt>
                <c:pt idx="12">
                  <c:v>-12.395307906855855</c:v>
                </c:pt>
                <c:pt idx="13">
                  <c:v>-3.2276531895508125</c:v>
                </c:pt>
                <c:pt idx="14">
                  <c:v>5.9400015277542302</c:v>
                </c:pt>
                <c:pt idx="15">
                  <c:v>15.107656245059271</c:v>
                </c:pt>
                <c:pt idx="16">
                  <c:v>24.275310962364323</c:v>
                </c:pt>
                <c:pt idx="17">
                  <c:v>33.442965679669356</c:v>
                </c:pt>
                <c:pt idx="18">
                  <c:v>42.610620396974404</c:v>
                </c:pt>
                <c:pt idx="19">
                  <c:v>51.778275114279452</c:v>
                </c:pt>
                <c:pt idx="20">
                  <c:v>-33.737425594725018</c:v>
                </c:pt>
                <c:pt idx="21">
                  <c:v>-36.744233847984091</c:v>
                </c:pt>
                <c:pt idx="22">
                  <c:v>-39.751042101243165</c:v>
                </c:pt>
                <c:pt idx="23">
                  <c:v>-42.757850354502239</c:v>
                </c:pt>
                <c:pt idx="24">
                  <c:v>-45.764658607761305</c:v>
                </c:pt>
                <c:pt idx="25">
                  <c:v>-48.771466861020379</c:v>
                </c:pt>
                <c:pt idx="26">
                  <c:v>48.771466861020379</c:v>
                </c:pt>
                <c:pt idx="27">
                  <c:v>45.764658607761305</c:v>
                </c:pt>
                <c:pt idx="28">
                  <c:v>42.757850354502231</c:v>
                </c:pt>
                <c:pt idx="29">
                  <c:v>39.751042101243158</c:v>
                </c:pt>
                <c:pt idx="30">
                  <c:v>36.744233847984091</c:v>
                </c:pt>
                <c:pt idx="31">
                  <c:v>33.737425594725018</c:v>
                </c:pt>
              </c:numCache>
            </c:numRef>
          </c:xVal>
          <c:yVal>
            <c:numRef>
              <c:f>對的示範例3!$X$16:$X$47</c:f>
              <c:numCache>
                <c:formatCode>0.00_ </c:formatCode>
                <c:ptCount val="32"/>
                <c:pt idx="0">
                  <c:v>-21407.4</c:v>
                </c:pt>
                <c:pt idx="1">
                  <c:v>-21407.4</c:v>
                </c:pt>
                <c:pt idx="2">
                  <c:v>-21407.4</c:v>
                </c:pt>
                <c:pt idx="3">
                  <c:v>-19696.568070284546</c:v>
                </c:pt>
                <c:pt idx="4">
                  <c:v>-14163.463853677522</c:v>
                </c:pt>
                <c:pt idx="5">
                  <c:v>-8630.3596370705036</c:v>
                </c:pt>
                <c:pt idx="6">
                  <c:v>-3097.255420463478</c:v>
                </c:pt>
                <c:pt idx="7">
                  <c:v>2435.8487960878965</c:v>
                </c:pt>
                <c:pt idx="8">
                  <c:v>6755.8670127056257</c:v>
                </c:pt>
                <c:pt idx="9">
                  <c:v>12288.971229323357</c:v>
                </c:pt>
                <c:pt idx="10">
                  <c:v>-21407.4</c:v>
                </c:pt>
                <c:pt idx="11">
                  <c:v>-18059.540227308353</c:v>
                </c:pt>
                <c:pt idx="12">
                  <c:v>-12526.436010701329</c:v>
                </c:pt>
                <c:pt idx="13">
                  <c:v>-6993.331794094308</c:v>
                </c:pt>
                <c:pt idx="14">
                  <c:v>-1460.2275774872867</c:v>
                </c:pt>
                <c:pt idx="15">
                  <c:v>4072.8766390672558</c:v>
                </c:pt>
                <c:pt idx="16">
                  <c:v>8392.89485568499</c:v>
                </c:pt>
                <c:pt idx="17">
                  <c:v>13925.999072302711</c:v>
                </c:pt>
                <c:pt idx="18">
                  <c:v>19459.103288920443</c:v>
                </c:pt>
                <c:pt idx="19">
                  <c:v>20194.314000000002</c:v>
                </c:pt>
                <c:pt idx="20">
                  <c:v>-21407.4</c:v>
                </c:pt>
                <c:pt idx="21">
                  <c:v>-21407.4</c:v>
                </c:pt>
                <c:pt idx="22">
                  <c:v>-21407.4</c:v>
                </c:pt>
                <c:pt idx="23">
                  <c:v>-21407.4</c:v>
                </c:pt>
                <c:pt idx="24">
                  <c:v>-21407.4</c:v>
                </c:pt>
                <c:pt idx="25">
                  <c:v>-21407.4</c:v>
                </c:pt>
                <c:pt idx="26">
                  <c:v>20194.314000000002</c:v>
                </c:pt>
                <c:pt idx="27">
                  <c:v>20194.314000000002</c:v>
                </c:pt>
                <c:pt idx="28">
                  <c:v>19547.963387160391</c:v>
                </c:pt>
                <c:pt idx="29">
                  <c:v>17733.215347701131</c:v>
                </c:pt>
                <c:pt idx="30">
                  <c:v>15918.467308241878</c:v>
                </c:pt>
                <c:pt idx="31">
                  <c:v>14103.719268782615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0-417F-87A1-C5A9E2D5D1A5}"/>
            </c:ext>
          </c:extLst>
        </c:ser>
        <c:ser>
          <c:idx val="1"/>
          <c:order val="1"/>
          <c:tx>
            <c:v>Cc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對的示範例3!$Q$22:$Q$25</c:f>
              <c:numCache>
                <c:formatCode>0.00_ </c:formatCode>
                <c:ptCount val="4"/>
                <c:pt idx="0">
                  <c:v>16.112002301753975</c:v>
                </c:pt>
                <c:pt idx="1">
                  <c:v>16.112002301753975</c:v>
                </c:pt>
                <c:pt idx="2">
                  <c:v>60.043335102515094</c:v>
                </c:pt>
                <c:pt idx="3">
                  <c:v>60.043335102515094</c:v>
                </c:pt>
              </c:numCache>
            </c:numRef>
          </c:xVal>
          <c:yVal>
            <c:numRef>
              <c:f>對的示範例3!$R$22:$R$25</c:f>
              <c:numCache>
                <c:formatCode>0_ </c:formatCode>
                <c:ptCount val="4"/>
                <c:pt idx="0" formatCode="0.00_ ">
                  <c:v>0</c:v>
                </c:pt>
                <c:pt idx="1">
                  <c:v>6288.2673979584433</c:v>
                </c:pt>
                <c:pt idx="2">
                  <c:v>6288.2673979584433</c:v>
                </c:pt>
                <c:pt idx="3" formatCode="0.00_ 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F0-417F-87A1-C5A9E2D5D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807039"/>
        <c:axId val="2048813279"/>
      </c:scatterChart>
      <c:valAx>
        <c:axId val="204880703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crossAx val="2048813279"/>
        <c:crosses val="autoZero"/>
        <c:crossBetween val="midCat"/>
      </c:valAx>
      <c:valAx>
        <c:axId val="204881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880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550792</xdr:colOff>
      <xdr:row>17</xdr:row>
      <xdr:rowOff>7451</xdr:rowOff>
    </xdr:from>
    <xdr:to>
      <xdr:col>7</xdr:col>
      <xdr:colOff>960783</xdr:colOff>
      <xdr:row>34</xdr:row>
      <xdr:rowOff>87343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6B93210-633A-9472-C0EC-13E6775903B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157370</xdr:colOff>
      <xdr:row>17</xdr:row>
      <xdr:rowOff>8281</xdr:rowOff>
    </xdr:from>
    <xdr:to>
      <xdr:col>3</xdr:col>
      <xdr:colOff>1143000</xdr:colOff>
      <xdr:row>33</xdr:row>
      <xdr:rowOff>132521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0FF08A4-BA93-4BE5-BA89-A6BA3E84FCF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1184413</xdr:colOff>
      <xdr:row>25</xdr:row>
      <xdr:rowOff>66262</xdr:rowOff>
    </xdr:from>
    <xdr:to>
      <xdr:col>11</xdr:col>
      <xdr:colOff>74544</xdr:colOff>
      <xdr:row>42</xdr:row>
      <xdr:rowOff>146153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3C36ED6A-BAFA-40F7-86B3-B48DAE17A1A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501097</xdr:colOff>
      <xdr:row>44</xdr:row>
      <xdr:rowOff>7453</xdr:rowOff>
    </xdr:from>
    <xdr:to>
      <xdr:col>11</xdr:col>
      <xdr:colOff>260902</xdr:colOff>
      <xdr:row>57</xdr:row>
      <xdr:rowOff>58806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59FA8757-9C16-43A2-F417-CB8F4C5DD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57979</xdr:colOff>
      <xdr:row>17</xdr:row>
      <xdr:rowOff>7450</xdr:rowOff>
    </xdr:from>
    <xdr:to>
      <xdr:col>7</xdr:col>
      <xdr:colOff>1167848</xdr:colOff>
      <xdr:row>33</xdr:row>
      <xdr:rowOff>99390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D2D4758-58BD-4756-A46B-82FC385EC5B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157370</xdr:colOff>
      <xdr:row>17</xdr:row>
      <xdr:rowOff>8282</xdr:rowOff>
    </xdr:from>
    <xdr:to>
      <xdr:col>3</xdr:col>
      <xdr:colOff>1143000</xdr:colOff>
      <xdr:row>34</xdr:row>
      <xdr:rowOff>88174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1784315B-800C-499E-AD7A-1B6B891B7B5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1184412</xdr:colOff>
      <xdr:row>25</xdr:row>
      <xdr:rowOff>66263</xdr:rowOff>
    </xdr:from>
    <xdr:to>
      <xdr:col>12</xdr:col>
      <xdr:colOff>91108</xdr:colOff>
      <xdr:row>36</xdr:row>
      <xdr:rowOff>190501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98FC2FAB-245C-42CD-A731-3D79370943A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501097</xdr:colOff>
      <xdr:row>44</xdr:row>
      <xdr:rowOff>7453</xdr:rowOff>
    </xdr:from>
    <xdr:to>
      <xdr:col>11</xdr:col>
      <xdr:colOff>260902</xdr:colOff>
      <xdr:row>57</xdr:row>
      <xdr:rowOff>58806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AFCB18F1-7C8A-4714-A19E-53A6A6CB8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57979</xdr:colOff>
      <xdr:row>17</xdr:row>
      <xdr:rowOff>7450</xdr:rowOff>
    </xdr:from>
    <xdr:to>
      <xdr:col>7</xdr:col>
      <xdr:colOff>1167848</xdr:colOff>
      <xdr:row>33</xdr:row>
      <xdr:rowOff>99390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E2246B2-9D11-447B-A46B-F0C33FF40E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157370</xdr:colOff>
      <xdr:row>17</xdr:row>
      <xdr:rowOff>8282</xdr:rowOff>
    </xdr:from>
    <xdr:to>
      <xdr:col>3</xdr:col>
      <xdr:colOff>1143000</xdr:colOff>
      <xdr:row>34</xdr:row>
      <xdr:rowOff>88174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46056AA4-E300-4492-B8C3-E3826D0606C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1184412</xdr:colOff>
      <xdr:row>25</xdr:row>
      <xdr:rowOff>66263</xdr:rowOff>
    </xdr:from>
    <xdr:to>
      <xdr:col>12</xdr:col>
      <xdr:colOff>91108</xdr:colOff>
      <xdr:row>36</xdr:row>
      <xdr:rowOff>190501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83A252BE-47D3-4C6E-9AA5-BB84BC6455B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501097</xdr:colOff>
      <xdr:row>44</xdr:row>
      <xdr:rowOff>7453</xdr:rowOff>
    </xdr:from>
    <xdr:to>
      <xdr:col>11</xdr:col>
      <xdr:colOff>260902</xdr:colOff>
      <xdr:row>57</xdr:row>
      <xdr:rowOff>58806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87C3327A-1CE1-4FD3-8DDA-9A7CD6537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6D6A-8411-402E-8011-A5715123C74B}">
  <sheetPr codeName="Sheet6"/>
  <dimension ref="A1:AA57"/>
  <sheetViews>
    <sheetView tabSelected="1" view="pageBreakPreview" zoomScaleNormal="80" zoomScaleSheetLayoutView="100" workbookViewId="0">
      <selection activeCell="F13" sqref="F11:F13"/>
    </sheetView>
  </sheetViews>
  <sheetFormatPr defaultColWidth="8.875" defaultRowHeight="16.5" customHeight="1"/>
  <cols>
    <col min="1" max="1" width="11.125" style="1" customWidth="1"/>
    <col min="2" max="2" width="22.25" style="1" customWidth="1"/>
    <col min="3" max="3" width="16.5" style="1" customWidth="1"/>
    <col min="4" max="4" width="16.125" style="1" customWidth="1"/>
    <col min="5" max="5" width="16.125" style="2" customWidth="1"/>
    <col min="6" max="7" width="16.125" style="1" customWidth="1"/>
    <col min="8" max="8" width="20.125" style="1" customWidth="1"/>
    <col min="9" max="9" width="19.375" style="1" customWidth="1"/>
    <col min="10" max="11" width="11.875" style="1" customWidth="1"/>
    <col min="12" max="16" width="8.875" style="1" customWidth="1"/>
    <col min="17" max="17" width="10.5" style="1" bestFit="1" customWidth="1"/>
    <col min="18" max="18" width="9.5" style="1" bestFit="1" customWidth="1"/>
    <col min="19" max="19" width="9.75" style="25" bestFit="1" customWidth="1"/>
    <col min="20" max="20" width="9.5" style="1" bestFit="1" customWidth="1"/>
    <col min="21" max="21" width="9.75" style="1" bestFit="1" customWidth="1"/>
    <col min="22" max="22" width="8.875" style="1"/>
    <col min="23" max="23" width="9.25" style="1" bestFit="1" customWidth="1"/>
    <col min="24" max="24" width="10.25" style="1" bestFit="1" customWidth="1"/>
    <col min="25" max="25" width="13.875" style="1" bestFit="1" customWidth="1"/>
    <col min="26" max="26" width="9.75" style="1" bestFit="1" customWidth="1"/>
    <col min="27" max="16384" width="8.875" style="1"/>
  </cols>
  <sheetData>
    <row r="1" spans="1:27" ht="16.5" customHeight="1">
      <c r="D1" s="5"/>
      <c r="F1" s="17"/>
      <c r="G1" s="17"/>
      <c r="L1" s="3"/>
      <c r="M1" s="5"/>
      <c r="O1" s="5"/>
      <c r="R1" s="22"/>
      <c r="S1" s="21"/>
    </row>
    <row r="2" spans="1:27" ht="16.5" customHeight="1">
      <c r="C2" s="13" t="s">
        <v>2</v>
      </c>
      <c r="D2" s="1">
        <v>100</v>
      </c>
      <c r="E2" s="1"/>
      <c r="G2" s="2" t="s">
        <v>35</v>
      </c>
      <c r="H2" s="1">
        <f>-D2/2</f>
        <v>-50</v>
      </c>
      <c r="I2" s="1">
        <f>-D3/2</f>
        <v>-40</v>
      </c>
      <c r="J2" s="2" t="str">
        <f>G2&amp;"'"</f>
        <v>A'</v>
      </c>
      <c r="K2" s="1" cm="1">
        <f t="array" ref="K2:L6">coordtransformation(H2:I6,H16)</f>
        <v>14.245932347924342</v>
      </c>
      <c r="L2" s="1">
        <v>-62.426383937709886</v>
      </c>
      <c r="R2" s="22"/>
      <c r="S2" s="21"/>
    </row>
    <row r="3" spans="1:27" ht="16.5" customHeight="1">
      <c r="C3" s="13" t="s">
        <v>10</v>
      </c>
      <c r="D3" s="1">
        <v>80</v>
      </c>
      <c r="E3" s="6"/>
      <c r="G3" s="2" t="s">
        <v>36</v>
      </c>
      <c r="H3" s="1">
        <f>D2/2</f>
        <v>50</v>
      </c>
      <c r="I3" s="1">
        <f>-D3/2</f>
        <v>-40</v>
      </c>
      <c r="J3" s="2" t="str">
        <f t="shared" ref="J3:J6" si="0">G3&amp;"'"</f>
        <v>B'</v>
      </c>
      <c r="K3" s="1">
        <v>57.776633326270158</v>
      </c>
      <c r="L3" s="1">
        <v>27.60182315503323</v>
      </c>
      <c r="M3" s="6"/>
      <c r="N3" s="6"/>
      <c r="O3" s="26"/>
      <c r="P3" s="6"/>
      <c r="S3" s="1"/>
    </row>
    <row r="4" spans="1:27" ht="16.5" customHeight="1">
      <c r="A4" s="6"/>
      <c r="C4" s="8" t="s">
        <v>11</v>
      </c>
      <c r="D4" s="12">
        <v>10</v>
      </c>
      <c r="E4" s="1"/>
      <c r="F4" s="7"/>
      <c r="G4" s="2" t="s">
        <v>37</v>
      </c>
      <c r="H4" s="1">
        <f>D2/2</f>
        <v>50</v>
      </c>
      <c r="I4" s="1">
        <f>D3/2</f>
        <v>40</v>
      </c>
      <c r="J4" s="2" t="str">
        <f t="shared" si="0"/>
        <v>C'</v>
      </c>
      <c r="K4" s="1">
        <v>-14.245932347924342</v>
      </c>
      <c r="L4" s="1">
        <v>62.426383937709886</v>
      </c>
      <c r="O4" s="12"/>
      <c r="S4" s="1"/>
    </row>
    <row r="5" spans="1:27" ht="16.5" customHeight="1">
      <c r="A5" s="6"/>
      <c r="C5" s="8" t="s">
        <v>12</v>
      </c>
      <c r="D5" s="12">
        <v>8</v>
      </c>
      <c r="E5" s="1"/>
      <c r="G5" s="37" t="s">
        <v>38</v>
      </c>
      <c r="H5" s="1">
        <f>-D2/2</f>
        <v>-50</v>
      </c>
      <c r="I5" s="1">
        <f>D3/2</f>
        <v>40</v>
      </c>
      <c r="J5" s="2" t="str">
        <f t="shared" si="0"/>
        <v>D'</v>
      </c>
      <c r="K5" s="1">
        <v>-57.776633326270158</v>
      </c>
      <c r="L5" s="1">
        <v>-27.60182315503323</v>
      </c>
      <c r="O5" s="12"/>
      <c r="S5" s="1"/>
    </row>
    <row r="6" spans="1:27" s="35" customFormat="1" ht="16.5" customHeight="1">
      <c r="A6" s="6"/>
      <c r="B6" s="1"/>
      <c r="C6" s="8" t="s">
        <v>13</v>
      </c>
      <c r="D6" s="12">
        <v>0</v>
      </c>
      <c r="E6" s="1"/>
      <c r="G6" s="37" t="s">
        <v>35</v>
      </c>
      <c r="H6" s="1">
        <f>H2</f>
        <v>-50</v>
      </c>
      <c r="I6" s="1">
        <f>I2</f>
        <v>-40</v>
      </c>
      <c r="J6" s="2" t="str">
        <f t="shared" si="0"/>
        <v>A'</v>
      </c>
      <c r="K6" s="1">
        <v>14.245932347924342</v>
      </c>
      <c r="L6" s="1">
        <v>-62.426383937709886</v>
      </c>
      <c r="R6" s="4"/>
    </row>
    <row r="7" spans="1:27" ht="16.5" customHeight="1">
      <c r="C7" s="8" t="s">
        <v>14</v>
      </c>
      <c r="D7" s="12">
        <v>0</v>
      </c>
      <c r="E7" s="1"/>
      <c r="F7" s="2"/>
      <c r="G7" s="2"/>
      <c r="O7" s="12"/>
      <c r="S7" s="1"/>
    </row>
    <row r="8" spans="1:27" ht="16.5" customHeight="1">
      <c r="C8" s="2" t="s">
        <v>15</v>
      </c>
      <c r="D8" s="12">
        <v>8</v>
      </c>
      <c r="E8" s="1" t="s">
        <v>20</v>
      </c>
      <c r="F8" s="11"/>
      <c r="G8" s="11"/>
      <c r="O8" s="12"/>
      <c r="S8" s="1"/>
    </row>
    <row r="9" spans="1:27" ht="16.5" customHeight="1">
      <c r="A9" s="9"/>
      <c r="C9" s="2" t="s">
        <v>16</v>
      </c>
      <c r="D9" s="12">
        <v>4</v>
      </c>
      <c r="E9" s="6" t="s">
        <v>20</v>
      </c>
      <c r="F9" s="2"/>
      <c r="G9" s="2"/>
      <c r="M9" s="6"/>
      <c r="N9" s="6"/>
      <c r="O9" s="26"/>
      <c r="P9" s="6"/>
      <c r="S9" s="1"/>
    </row>
    <row r="10" spans="1:27" ht="16.5" customHeight="1">
      <c r="A10" s="9"/>
      <c r="C10" s="2" t="s">
        <v>19</v>
      </c>
      <c r="D10" s="1">
        <v>4</v>
      </c>
      <c r="E10" s="1" t="s">
        <v>0</v>
      </c>
      <c r="F10" s="18"/>
      <c r="G10" s="18"/>
      <c r="L10" s="24"/>
      <c r="O10" s="12"/>
      <c r="S10" s="1"/>
    </row>
    <row r="11" spans="1:27" ht="16.5" customHeight="1">
      <c r="A11" s="9"/>
      <c r="C11" s="8" t="s">
        <v>17</v>
      </c>
      <c r="D11" s="1">
        <v>280</v>
      </c>
      <c r="E11" s="6" t="s">
        <v>1</v>
      </c>
      <c r="F11" s="18"/>
      <c r="G11" s="18"/>
      <c r="O11" s="12"/>
      <c r="S11" s="1"/>
    </row>
    <row r="12" spans="1:27" ht="16.5" customHeight="1">
      <c r="A12" s="9"/>
      <c r="C12" s="2" t="s">
        <v>18</v>
      </c>
      <c r="D12" s="1">
        <v>4200</v>
      </c>
      <c r="E12" s="6" t="s">
        <v>1</v>
      </c>
      <c r="F12" s="18"/>
      <c r="G12" s="18"/>
      <c r="N12" s="24"/>
      <c r="O12" s="12"/>
      <c r="S12" s="1"/>
    </row>
    <row r="13" spans="1:27" ht="16.5" customHeight="1">
      <c r="B13" s="8"/>
      <c r="C13" s="2"/>
      <c r="D13" s="9"/>
      <c r="E13" s="8"/>
      <c r="F13" s="18"/>
      <c r="G13" s="18"/>
      <c r="H13" s="9"/>
      <c r="I13" s="2" t="s">
        <v>30</v>
      </c>
      <c r="J13" s="38">
        <v>40.469372502355384</v>
      </c>
      <c r="K13" s="1" t="s">
        <v>0</v>
      </c>
      <c r="L13" s="6" t="s">
        <v>40</v>
      </c>
      <c r="M13" s="40">
        <f>J13*IF(D11&lt;280,0.85,IF(D11&gt;=280,0.85 - 0.05* (D11- 280) / 70,0))</f>
        <v>34.398966627002075</v>
      </c>
      <c r="N13" s="1" t="s">
        <v>0</v>
      </c>
      <c r="O13" s="12"/>
      <c r="S13" s="1"/>
    </row>
    <row r="14" spans="1:27" ht="16.5" customHeight="1">
      <c r="B14" s="2"/>
      <c r="C14" s="20"/>
      <c r="E14" s="2" t="s">
        <v>4</v>
      </c>
      <c r="F14" s="20"/>
      <c r="G14" s="20"/>
      <c r="J14" s="1" t="s">
        <v>26</v>
      </c>
      <c r="K14" s="15"/>
      <c r="L14" s="4"/>
      <c r="M14" s="16"/>
      <c r="O14" s="1" t="s">
        <v>28</v>
      </c>
      <c r="R14" s="22"/>
      <c r="S14" s="21"/>
    </row>
    <row r="15" spans="1:27" ht="16.5" customHeight="1">
      <c r="B15" s="3"/>
      <c r="C15" s="14" t="s">
        <v>3</v>
      </c>
      <c r="D15" s="10" t="s">
        <v>6</v>
      </c>
      <c r="E15" s="10" t="s">
        <v>5</v>
      </c>
      <c r="F15" s="23" t="s">
        <v>7</v>
      </c>
      <c r="G15" s="5"/>
      <c r="H15" s="3" t="s">
        <v>22</v>
      </c>
      <c r="I15" s="27" t="s">
        <v>21</v>
      </c>
      <c r="J15" s="1" t="s">
        <v>23</v>
      </c>
      <c r="K15" s="1" t="s">
        <v>24</v>
      </c>
      <c r="L15" s="1" t="s">
        <v>25</v>
      </c>
      <c r="M15" s="1" t="s">
        <v>27</v>
      </c>
      <c r="O15" s="29" t="s">
        <v>29</v>
      </c>
      <c r="Q15" s="1" t="s">
        <v>8</v>
      </c>
      <c r="S15" s="1" t="s">
        <v>9</v>
      </c>
      <c r="T15" s="12"/>
      <c r="U15" s="1" t="s">
        <v>32</v>
      </c>
      <c r="W15" s="1" t="s">
        <v>39</v>
      </c>
      <c r="Y15" s="1" t="s">
        <v>33</v>
      </c>
      <c r="Z15" s="22" t="s">
        <v>34</v>
      </c>
      <c r="AA15" s="21"/>
    </row>
    <row r="16" spans="1:27" ht="16.5" customHeight="1">
      <c r="A16" s="22"/>
      <c r="C16" s="28">
        <v>20</v>
      </c>
      <c r="D16" s="28">
        <v>50</v>
      </c>
      <c r="E16" s="36">
        <f>D16*TAN(25.804831/180*PI())</f>
        <v>24.176145674327383</v>
      </c>
      <c r="F16" s="31" cm="1">
        <f t="array" ref="F16">PM($D$11,$D$12,$D$2,$D$3,$D$10,$D$4,$D$5,$D$6,$D$7,$D$8,$D$9,C16,ABS(D16),ABS(E16))</f>
        <v>0.24220664093043603</v>
      </c>
      <c r="H16" s="24">
        <f>PI()/2 - ATAN(ABS(E16 / D16)) + 0.0000000001</f>
        <v>1.1204170630241956</v>
      </c>
      <c r="I16" s="28">
        <f>SQRT(D16^2+E16^2)*100000</f>
        <v>5553814.9227952296</v>
      </c>
      <c r="J16" s="39" cm="1">
        <f t="array" ref="J16:L16">transformedsection(D2,D3,H16)</f>
        <v>57.776633326270158</v>
      </c>
      <c r="K16" s="39">
        <v>14.245932347924342</v>
      </c>
      <c r="L16" s="39">
        <v>55.538149225257342</v>
      </c>
      <c r="M16" s="1" cm="1">
        <f t="array" ref="M16:N47">rebarcoord(D2,D3,D10,D4,D5,D6,D7,D8,D9)</f>
        <v>-43.459999999999994</v>
      </c>
      <c r="N16" s="1">
        <v>33.459999999999994</v>
      </c>
      <c r="O16" s="1" cm="1">
        <f t="array" ref="O16:P47">coordtransformation(rebarcoord(D2,D3,D10,D4,D5,D6,D7,D8,D9),H16)</f>
        <v>-49.041880738420929</v>
      </c>
      <c r="P16" s="19">
        <v>-24.560886255151644</v>
      </c>
      <c r="Q16" s="30" cm="1">
        <f t="array" ref="Q16:R16">Cc(D11,J13, J16,K16,L16)</f>
        <v>359305.1911606564</v>
      </c>
      <c r="R16" s="1">
        <v>34.843988908212111</v>
      </c>
      <c r="S16" s="25" cm="1">
        <f t="array" ref="S16:T47">Cs(D11,D12,J13,J16,_xlfn.ANCHORARRAY(O16),D8)</f>
        <v>0</v>
      </c>
      <c r="T16" s="1">
        <v>0</v>
      </c>
      <c r="U16" s="24" cm="1">
        <f t="array" ref="U16:V47">Ts(D12,J13,J16,_xlfn.ANCHORARRAY(O16),D8)</f>
        <v>4.9184707441320063E-3</v>
      </c>
      <c r="V16" s="1">
        <v>21407.4</v>
      </c>
      <c r="W16" s="24">
        <f>S16-U16</f>
        <v>-4.9184707441320063E-3</v>
      </c>
      <c r="X16" s="1">
        <f>T16-V16</f>
        <v>-21407.4</v>
      </c>
      <c r="Y16" s="32" cm="1">
        <f t="array" ref="Y16">Mn(J13,_xlfn.ANCHORARRAY(Q16),_xlfn.ANCHORARRAY(S16),_xlfn.ANCHORARRAY(U16),D12,J16,_xlfn.ANCHORARRAY(O16))</f>
        <v>26096887.899885502</v>
      </c>
      <c r="Z16" s="34" cm="1">
        <f t="array" ref="Z16">phic(_xlfn.ANCHORARRAY(O16),_xlfn.ANCHORARRAY(U16), D12)</f>
        <v>0.8930700132512206</v>
      </c>
      <c r="AA16" s="21"/>
    </row>
    <row r="17" spans="6:26" ht="16.5" customHeight="1">
      <c r="F17" s="25"/>
      <c r="M17" s="1">
        <v>-33.80222222222222</v>
      </c>
      <c r="N17" s="1">
        <v>33.459999999999994</v>
      </c>
      <c r="O17" s="1">
        <v>-44.837782372823355</v>
      </c>
      <c r="P17" s="1">
        <v>-15.866162076816948</v>
      </c>
      <c r="Q17" s="3" t="s">
        <v>31</v>
      </c>
      <c r="R17" s="3" t="s">
        <v>0</v>
      </c>
      <c r="S17" s="25">
        <v>0</v>
      </c>
      <c r="T17" s="1">
        <v>0</v>
      </c>
      <c r="U17" s="24">
        <v>4.606820369616624E-3</v>
      </c>
      <c r="V17" s="1">
        <v>21407.4</v>
      </c>
      <c r="W17" s="24">
        <f t="shared" ref="W17:W47" si="1">S17-U17</f>
        <v>-4.606820369616624E-3</v>
      </c>
      <c r="X17" s="1">
        <f t="shared" ref="X17:X47" si="2">T17-V17</f>
        <v>-21407.4</v>
      </c>
    </row>
    <row r="18" spans="6:26" ht="16.5" customHeight="1">
      <c r="F18" s="25"/>
      <c r="H18" s="22"/>
      <c r="J18" s="1" t="s">
        <v>26</v>
      </c>
      <c r="M18" s="1">
        <v>-24.144444444444442</v>
      </c>
      <c r="N18" s="1">
        <v>33.459999999999994</v>
      </c>
      <c r="O18" s="1">
        <v>-40.633684007225781</v>
      </c>
      <c r="P18" s="1">
        <v>-7.171437898482246</v>
      </c>
      <c r="S18" s="25">
        <v>0</v>
      </c>
      <c r="T18" s="1">
        <v>0</v>
      </c>
      <c r="U18" s="24">
        <v>4.2951699951012424E-3</v>
      </c>
      <c r="V18" s="1">
        <v>21407.4</v>
      </c>
      <c r="W18" s="24">
        <f t="shared" si="1"/>
        <v>-4.2951699951012424E-3</v>
      </c>
      <c r="X18" s="1">
        <f t="shared" si="2"/>
        <v>-21407.4</v>
      </c>
      <c r="Z18" s="1">
        <f>ABS(MIN(W16:W47))</f>
        <v>4.9184707441320063E-3</v>
      </c>
    </row>
    <row r="19" spans="6:26" ht="16.5" customHeight="1">
      <c r="F19" s="25"/>
      <c r="H19" s="22"/>
      <c r="J19" s="1">
        <f>J16</f>
        <v>57.776633326270158</v>
      </c>
      <c r="K19" s="1">
        <v>0</v>
      </c>
      <c r="M19" s="1">
        <v>-14.486666666666665</v>
      </c>
      <c r="N19" s="1">
        <v>33.459999999999994</v>
      </c>
      <c r="O19" s="1">
        <v>-36.429585641628201</v>
      </c>
      <c r="P19" s="1">
        <v>1.5232862798524547</v>
      </c>
      <c r="Q19" s="1" t="s">
        <v>41</v>
      </c>
      <c r="S19" s="25">
        <v>0</v>
      </c>
      <c r="T19" s="1">
        <v>0</v>
      </c>
      <c r="U19" s="24">
        <v>3.9835196205858601E-3</v>
      </c>
      <c r="V19" s="1">
        <v>21407.4</v>
      </c>
      <c r="W19" s="24">
        <f t="shared" si="1"/>
        <v>-3.9835196205858601E-3</v>
      </c>
      <c r="X19" s="1">
        <f t="shared" si="2"/>
        <v>-21407.4</v>
      </c>
      <c r="Y19" s="25">
        <f>J16-J13</f>
        <v>17.307260823914774</v>
      </c>
      <c r="Z19" s="24">
        <f>0.65+0.25/(0.005-4200/2040000)*(Z18-4200/2040000)</f>
        <v>0.8930700132512206</v>
      </c>
    </row>
    <row r="20" spans="6:26" ht="16.5" customHeight="1">
      <c r="F20" s="25"/>
      <c r="J20" s="1">
        <f>K16</f>
        <v>14.245932347924342</v>
      </c>
      <c r="K20" s="1">
        <f>L16</f>
        <v>55.538149225257342</v>
      </c>
      <c r="M20" s="1">
        <v>-4.8288888888888906</v>
      </c>
      <c r="N20" s="1">
        <v>33.459999999999994</v>
      </c>
      <c r="O20" s="1">
        <v>-32.225487276030627</v>
      </c>
      <c r="P20" s="1">
        <v>10.218010458187155</v>
      </c>
      <c r="Q20" s="12">
        <f>Q16/100</f>
        <v>3593.0519116065639</v>
      </c>
      <c r="S20" s="25">
        <v>0</v>
      </c>
      <c r="T20" s="1">
        <v>0</v>
      </c>
      <c r="U20" s="24">
        <v>3.6718692460704781E-3</v>
      </c>
      <c r="V20" s="1">
        <v>21407.4</v>
      </c>
      <c r="W20" s="24">
        <f t="shared" si="1"/>
        <v>-3.6718692460704781E-3</v>
      </c>
      <c r="X20" s="1">
        <f t="shared" si="2"/>
        <v>-21407.4</v>
      </c>
    </row>
    <row r="21" spans="6:26" ht="16.5" customHeight="1">
      <c r="F21" s="25"/>
      <c r="J21" s="1">
        <f>-K16</f>
        <v>-14.245932347924342</v>
      </c>
      <c r="K21" s="1">
        <f>L16</f>
        <v>55.538149225257342</v>
      </c>
      <c r="M21" s="1">
        <v>4.8288888888888835</v>
      </c>
      <c r="N21" s="1">
        <v>33.459999999999994</v>
      </c>
      <c r="O21" s="1">
        <v>-28.021388910433053</v>
      </c>
      <c r="P21" s="1">
        <v>18.912734636521854</v>
      </c>
      <c r="Q21" s="1" t="s">
        <v>41</v>
      </c>
      <c r="S21" s="25">
        <v>0</v>
      </c>
      <c r="T21" s="1">
        <v>0</v>
      </c>
      <c r="U21" s="24">
        <v>3.3602188715550962E-3</v>
      </c>
      <c r="V21" s="1">
        <v>21407.4</v>
      </c>
      <c r="W21" s="24">
        <f t="shared" si="1"/>
        <v>-3.3602188715550962E-3</v>
      </c>
      <c r="X21" s="1">
        <f t="shared" si="2"/>
        <v>-21407.4</v>
      </c>
      <c r="Y21" s="1">
        <f>Q16*R16</f>
        <v>12519626.095464943</v>
      </c>
    </row>
    <row r="22" spans="6:26" ht="16.5" customHeight="1">
      <c r="F22" s="25"/>
      <c r="J22" s="1">
        <f>-J16</f>
        <v>-57.776633326270158</v>
      </c>
      <c r="K22" s="1">
        <v>0</v>
      </c>
      <c r="M22" s="1">
        <v>14.486666666666665</v>
      </c>
      <c r="N22" s="1">
        <v>33.459999999999994</v>
      </c>
      <c r="O22" s="1">
        <v>-23.817290544835476</v>
      </c>
      <c r="P22" s="1">
        <v>27.607458814856557</v>
      </c>
      <c r="Q22" s="1">
        <f>J16-M13</f>
        <v>23.377666699268083</v>
      </c>
      <c r="R22" s="1">
        <v>0</v>
      </c>
      <c r="S22" s="25">
        <v>0</v>
      </c>
      <c r="T22" s="1">
        <v>0</v>
      </c>
      <c r="U22" s="24">
        <v>3.0485684970397134E-3</v>
      </c>
      <c r="V22" s="1">
        <v>21407.4</v>
      </c>
      <c r="W22" s="24">
        <f t="shared" si="1"/>
        <v>-3.0485684970397134E-3</v>
      </c>
      <c r="X22" s="1">
        <f t="shared" si="2"/>
        <v>-21407.4</v>
      </c>
      <c r="Y22" s="1">
        <f>O28*T28</f>
        <v>34860.55072332533</v>
      </c>
    </row>
    <row r="23" spans="6:26" ht="16.5" customHeight="1">
      <c r="F23" s="25"/>
      <c r="J23" s="1">
        <f>-K16</f>
        <v>-14.245932347924342</v>
      </c>
      <c r="K23" s="1">
        <f>-L16</f>
        <v>-55.538149225257342</v>
      </c>
      <c r="M23" s="1">
        <v>24.144444444444431</v>
      </c>
      <c r="N23" s="1">
        <v>33.459999999999994</v>
      </c>
      <c r="O23" s="1">
        <v>-19.613192179237906</v>
      </c>
      <c r="P23" s="1">
        <v>36.302182993191252</v>
      </c>
      <c r="Q23" s="1">
        <f>Q22</f>
        <v>23.377666699268083</v>
      </c>
      <c r="R23" s="12">
        <f>Q20</f>
        <v>3593.0519116065639</v>
      </c>
      <c r="S23" s="25">
        <v>0</v>
      </c>
      <c r="T23" s="1">
        <v>0</v>
      </c>
      <c r="U23" s="24">
        <v>2.7369181225243323E-3</v>
      </c>
      <c r="V23" s="1">
        <v>21407.4</v>
      </c>
      <c r="W23" s="24">
        <f t="shared" si="1"/>
        <v>-2.7369181225243323E-3</v>
      </c>
      <c r="X23" s="1">
        <f t="shared" si="2"/>
        <v>-21407.4</v>
      </c>
      <c r="Y23" s="1">
        <f t="shared" ref="Y23:Y29" si="3">O29*T29</f>
        <v>90620.51306727984</v>
      </c>
    </row>
    <row r="24" spans="6:26" ht="16.5" customHeight="1">
      <c r="F24" s="25"/>
      <c r="J24" s="1">
        <f>K16</f>
        <v>14.245932347924342</v>
      </c>
      <c r="K24" s="1">
        <f>-L16</f>
        <v>-55.538149225257342</v>
      </c>
      <c r="L24" s="12"/>
      <c r="M24" s="12">
        <v>33.802222222222213</v>
      </c>
      <c r="N24" s="1">
        <v>33.459999999999994</v>
      </c>
      <c r="O24" s="1">
        <v>-15.409093813640329</v>
      </c>
      <c r="P24" s="1">
        <v>44.996907171525955</v>
      </c>
      <c r="Q24" s="1">
        <f>J16</f>
        <v>57.776633326270158</v>
      </c>
      <c r="R24" s="12">
        <f>Q20</f>
        <v>3593.0519116065639</v>
      </c>
      <c r="S24" s="25">
        <v>0</v>
      </c>
      <c r="T24" s="1">
        <v>0</v>
      </c>
      <c r="U24" s="24">
        <v>2.4252677480089495E-3</v>
      </c>
      <c r="V24" s="1">
        <v>21407.4</v>
      </c>
      <c r="W24" s="24">
        <f t="shared" si="1"/>
        <v>-2.4252677480089495E-3</v>
      </c>
      <c r="X24" s="1">
        <f t="shared" si="2"/>
        <v>-21407.4</v>
      </c>
      <c r="Y24" s="1">
        <f t="shared" si="3"/>
        <v>197419.75264067523</v>
      </c>
    </row>
    <row r="25" spans="6:26" ht="16.5" customHeight="1">
      <c r="F25" s="25"/>
      <c r="J25" s="1">
        <f>J16</f>
        <v>57.776633326270158</v>
      </c>
      <c r="K25" s="1">
        <v>0</v>
      </c>
      <c r="M25" s="1">
        <v>43.459999999999994</v>
      </c>
      <c r="N25" s="1">
        <v>33.459999999999994</v>
      </c>
      <c r="O25" s="1">
        <v>-11.204995448042752</v>
      </c>
      <c r="P25" s="1">
        <v>53.691631349860657</v>
      </c>
      <c r="Q25" s="1">
        <f>J16</f>
        <v>57.776633326270158</v>
      </c>
      <c r="R25" s="1">
        <v>0</v>
      </c>
      <c r="S25" s="25">
        <v>0</v>
      </c>
      <c r="T25" s="1">
        <v>0</v>
      </c>
      <c r="U25" s="24">
        <v>2.1136173734935676E-3</v>
      </c>
      <c r="V25" s="1">
        <v>21407.4</v>
      </c>
      <c r="W25" s="24">
        <f t="shared" si="1"/>
        <v>-2.1136173734935676E-3</v>
      </c>
      <c r="X25" s="1">
        <f t="shared" si="2"/>
        <v>-21407.4</v>
      </c>
      <c r="Y25" s="1">
        <f t="shared" si="3"/>
        <v>331465.78059556813</v>
      </c>
    </row>
    <row r="26" spans="6:26" ht="16.5" customHeight="1">
      <c r="F26" s="25"/>
      <c r="I26" s="33"/>
      <c r="M26" s="1">
        <v>-43.459999999999994</v>
      </c>
      <c r="N26" s="1">
        <v>-33.459999999999994</v>
      </c>
      <c r="O26" s="1">
        <v>11.204995448042752</v>
      </c>
      <c r="P26" s="1">
        <v>-53.691631349860657</v>
      </c>
      <c r="S26" s="25">
        <v>0</v>
      </c>
      <c r="T26" s="1">
        <v>0</v>
      </c>
      <c r="U26" s="24">
        <v>4.5236174902898085E-4</v>
      </c>
      <c r="V26" s="1">
        <v>4703.60318299346</v>
      </c>
      <c r="W26" s="24">
        <f t="shared" si="1"/>
        <v>-4.5236174902898085E-4</v>
      </c>
      <c r="X26" s="1">
        <f t="shared" si="2"/>
        <v>-4703.60318299346</v>
      </c>
      <c r="Y26" s="1">
        <f t="shared" si="3"/>
        <v>492758.5969319588</v>
      </c>
    </row>
    <row r="27" spans="6:26" ht="16.5" customHeight="1">
      <c r="M27" s="1">
        <v>-33.80222222222222</v>
      </c>
      <c r="N27" s="1">
        <v>-33.459999999999994</v>
      </c>
      <c r="O27" s="1">
        <v>15.409093813640325</v>
      </c>
      <c r="P27" s="1">
        <v>-44.996907171525962</v>
      </c>
      <c r="S27" s="25">
        <v>0</v>
      </c>
      <c r="T27" s="1">
        <v>0</v>
      </c>
      <c r="U27" s="24">
        <v>1.4071137451359889E-4</v>
      </c>
      <c r="V27" s="1">
        <v>1463.0999868274596</v>
      </c>
      <c r="W27" s="24">
        <f t="shared" si="1"/>
        <v>-1.4071137451359889E-4</v>
      </c>
      <c r="X27" s="1">
        <f t="shared" si="2"/>
        <v>-1463.0999868274596</v>
      </c>
      <c r="Y27" s="1">
        <f t="shared" si="3"/>
        <v>681298.20164984721</v>
      </c>
    </row>
    <row r="28" spans="6:26" ht="16.5" customHeight="1">
      <c r="M28" s="1">
        <v>-24.144444444444442</v>
      </c>
      <c r="N28" s="1">
        <v>-33.459999999999994</v>
      </c>
      <c r="O28" s="1">
        <v>19.613192179237899</v>
      </c>
      <c r="P28" s="1">
        <v>-36.302182993191259</v>
      </c>
      <c r="S28" s="25">
        <v>1.709389999947923E-4</v>
      </c>
      <c r="T28" s="1">
        <v>1777.403209265851</v>
      </c>
      <c r="U28" s="24">
        <v>0</v>
      </c>
      <c r="V28" s="1">
        <v>0</v>
      </c>
      <c r="W28" s="24">
        <f t="shared" si="1"/>
        <v>1.709389999947923E-4</v>
      </c>
      <c r="X28" s="1">
        <f t="shared" si="2"/>
        <v>1777.403209265851</v>
      </c>
      <c r="Y28" s="1">
        <f t="shared" si="3"/>
        <v>897084.59474923369</v>
      </c>
    </row>
    <row r="29" spans="6:26" ht="16.5" customHeight="1">
      <c r="M29" s="1">
        <v>-14.486666666666665</v>
      </c>
      <c r="N29" s="1">
        <v>-33.459999999999994</v>
      </c>
      <c r="O29" s="1">
        <v>23.817290544835476</v>
      </c>
      <c r="P29" s="1">
        <v>-27.607458814856557</v>
      </c>
      <c r="S29" s="25">
        <v>4.825893745109444E-4</v>
      </c>
      <c r="T29" s="1">
        <v>3804.8204054398589</v>
      </c>
      <c r="U29" s="24">
        <v>0</v>
      </c>
      <c r="V29" s="1">
        <v>0</v>
      </c>
      <c r="W29" s="24">
        <f t="shared" si="1"/>
        <v>4.825893745109444E-4</v>
      </c>
      <c r="X29" s="1">
        <f t="shared" si="2"/>
        <v>3804.8204054398589</v>
      </c>
      <c r="Y29" s="1">
        <f t="shared" si="3"/>
        <v>990367.13878222415</v>
      </c>
    </row>
    <row r="30" spans="6:26" ht="16.5" customHeight="1">
      <c r="M30" s="1">
        <v>-4.8288888888888906</v>
      </c>
      <c r="N30" s="1">
        <v>-33.459999999999994</v>
      </c>
      <c r="O30" s="1">
        <v>28.021388910433053</v>
      </c>
      <c r="P30" s="1">
        <v>-18.912734636521858</v>
      </c>
      <c r="S30" s="25">
        <v>7.9423974902709704E-4</v>
      </c>
      <c r="T30" s="1">
        <v>7045.3236016138726</v>
      </c>
      <c r="U30" s="24">
        <v>0</v>
      </c>
      <c r="V30" s="1">
        <v>0</v>
      </c>
      <c r="W30" s="24">
        <f t="shared" si="1"/>
        <v>7.9423974902709704E-4</v>
      </c>
      <c r="X30" s="1">
        <f t="shared" si="2"/>
        <v>7045.3236016138726</v>
      </c>
      <c r="Y30" s="1">
        <f>O42*T42</f>
        <v>671783.28502678114</v>
      </c>
    </row>
    <row r="31" spans="6:26" ht="16.5" customHeight="1">
      <c r="M31" s="1">
        <v>4.8288888888888835</v>
      </c>
      <c r="N31" s="1">
        <v>-33.459999999999994</v>
      </c>
      <c r="O31" s="1">
        <v>32.225487276030627</v>
      </c>
      <c r="P31" s="1">
        <v>-10.218010458187161</v>
      </c>
      <c r="S31" s="25">
        <v>1.105890123543249E-3</v>
      </c>
      <c r="T31" s="1">
        <v>10285.826797787879</v>
      </c>
      <c r="U31" s="24">
        <v>0</v>
      </c>
      <c r="V31" s="1">
        <v>0</v>
      </c>
      <c r="W31" s="24">
        <f t="shared" si="1"/>
        <v>1.105890123543249E-3</v>
      </c>
      <c r="X31" s="1">
        <f t="shared" si="2"/>
        <v>10285.826797787879</v>
      </c>
      <c r="Y31" s="1">
        <f t="shared" ref="Y31:Y32" si="4">O43*T43</f>
        <v>317642.60510422941</v>
      </c>
    </row>
    <row r="32" spans="6:26" ht="16.5" customHeight="1">
      <c r="M32" s="1">
        <v>14.486666666666665</v>
      </c>
      <c r="N32" s="1">
        <v>-33.459999999999994</v>
      </c>
      <c r="O32" s="1">
        <v>36.429585641628201</v>
      </c>
      <c r="P32" s="1">
        <v>-1.5232862798524547</v>
      </c>
      <c r="S32" s="25">
        <v>1.4175404980594011E-3</v>
      </c>
      <c r="T32" s="1">
        <v>13526.329993961886</v>
      </c>
      <c r="U32" s="24">
        <v>0</v>
      </c>
      <c r="V32" s="1">
        <v>0</v>
      </c>
      <c r="W32" s="24">
        <f t="shared" si="1"/>
        <v>1.4175404980594011E-3</v>
      </c>
      <c r="X32" s="1">
        <f t="shared" si="2"/>
        <v>13526.329993961886</v>
      </c>
      <c r="Y32" s="1">
        <f t="shared" si="4"/>
        <v>105865.76595182563</v>
      </c>
    </row>
    <row r="33" spans="13:25" ht="16.5" customHeight="1">
      <c r="M33" s="1">
        <v>24.144444444444431</v>
      </c>
      <c r="N33" s="1">
        <v>-33.459999999999994</v>
      </c>
      <c r="O33" s="1">
        <v>40.633684007225774</v>
      </c>
      <c r="P33" s="1">
        <v>7.1714378984822353</v>
      </c>
      <c r="S33" s="25">
        <v>1.7291908725755533E-3</v>
      </c>
      <c r="T33" s="1">
        <v>16766.833190135894</v>
      </c>
      <c r="U33" s="24">
        <v>0</v>
      </c>
      <c r="V33" s="1">
        <v>0</v>
      </c>
      <c r="W33" s="24">
        <f t="shared" si="1"/>
        <v>1.7291908725755533E-3</v>
      </c>
      <c r="X33" s="1">
        <f t="shared" si="2"/>
        <v>16766.833190135894</v>
      </c>
      <c r="Y33" s="1">
        <f>ABS(O16*V16)</f>
        <v>1049859.1577196722</v>
      </c>
    </row>
    <row r="34" spans="13:25" ht="16.5" customHeight="1">
      <c r="M34" s="1">
        <v>33.802222222222213</v>
      </c>
      <c r="N34" s="1">
        <v>-33.459999999999994</v>
      </c>
      <c r="O34" s="1">
        <v>44.837782372823355</v>
      </c>
      <c r="P34" s="1">
        <v>15.866162076816941</v>
      </c>
      <c r="S34" s="25">
        <v>2.0408412470917059E-3</v>
      </c>
      <c r="T34" s="1">
        <v>20007.336386309908</v>
      </c>
      <c r="U34" s="24">
        <v>0</v>
      </c>
      <c r="V34" s="1">
        <v>0</v>
      </c>
      <c r="W34" s="24">
        <f t="shared" si="1"/>
        <v>2.0408412470917059E-3</v>
      </c>
      <c r="X34" s="1">
        <f t="shared" si="2"/>
        <v>20007.336386309908</v>
      </c>
      <c r="Y34" s="1">
        <f t="shared" ref="Y34:Y42" si="5">ABS(O17*V17)</f>
        <v>959860.34236797877</v>
      </c>
    </row>
    <row r="35" spans="13:25" ht="16.5" customHeight="1">
      <c r="M35" s="1">
        <v>43.459999999999994</v>
      </c>
      <c r="N35" s="1">
        <v>-33.459999999999994</v>
      </c>
      <c r="O35" s="1">
        <v>49.041880738420929</v>
      </c>
      <c r="P35" s="1">
        <v>24.560886255151644</v>
      </c>
      <c r="S35" s="25">
        <v>2.352491621607858E-3</v>
      </c>
      <c r="T35" s="1">
        <v>20194.314000000002</v>
      </c>
      <c r="U35" s="24">
        <v>0</v>
      </c>
      <c r="V35" s="1">
        <v>0</v>
      </c>
      <c r="W35" s="24">
        <f t="shared" si="1"/>
        <v>2.352491621607858E-3</v>
      </c>
      <c r="X35" s="1">
        <f t="shared" si="2"/>
        <v>20194.314000000002</v>
      </c>
      <c r="Y35" s="1">
        <f t="shared" si="5"/>
        <v>869861.52701628522</v>
      </c>
    </row>
    <row r="36" spans="13:25" ht="16.5" customHeight="1">
      <c r="M36" s="1">
        <v>-43.459999999999994</v>
      </c>
      <c r="N36" s="1">
        <v>-23.899999999999995</v>
      </c>
      <c r="O36" s="1">
        <v>2.5982988499765121</v>
      </c>
      <c r="P36" s="1">
        <v>-49.5300963363308</v>
      </c>
      <c r="S36" s="25">
        <v>0</v>
      </c>
      <c r="T36" s="1">
        <v>0</v>
      </c>
      <c r="U36" s="24">
        <v>1.0903773197579844E-3</v>
      </c>
      <c r="V36" s="1">
        <v>11337.612525565153</v>
      </c>
      <c r="W36" s="24">
        <f t="shared" si="1"/>
        <v>-1.0903773197579844E-3</v>
      </c>
      <c r="X36" s="1">
        <f t="shared" si="2"/>
        <v>-11337.612525565153</v>
      </c>
      <c r="Y36" s="1">
        <f t="shared" si="5"/>
        <v>779862.71166459157</v>
      </c>
    </row>
    <row r="37" spans="13:25" ht="16.5" customHeight="1">
      <c r="M37" s="1">
        <v>-43.459999999999994</v>
      </c>
      <c r="N37" s="1">
        <v>-14.339999999999996</v>
      </c>
      <c r="O37" s="1">
        <v>-6.0083977480897293</v>
      </c>
      <c r="P37" s="1">
        <v>-45.368561322800936</v>
      </c>
      <c r="S37" s="25">
        <v>0</v>
      </c>
      <c r="T37" s="1">
        <v>0</v>
      </c>
      <c r="U37" s="24">
        <v>1.728392890486988E-3</v>
      </c>
      <c r="V37" s="1">
        <v>17971.621868136845</v>
      </c>
      <c r="W37" s="24">
        <f t="shared" si="1"/>
        <v>-1.728392890486988E-3</v>
      </c>
      <c r="X37" s="1">
        <f t="shared" si="2"/>
        <v>-17971.621868136845</v>
      </c>
      <c r="Y37" s="1">
        <f t="shared" si="5"/>
        <v>689863.89631289814</v>
      </c>
    </row>
    <row r="38" spans="13:25" ht="16.5" customHeight="1">
      <c r="M38" s="1">
        <v>-43.459999999999994</v>
      </c>
      <c r="N38" s="1">
        <v>-4.7799999999999976</v>
      </c>
      <c r="O38" s="1">
        <v>-14.615094346155971</v>
      </c>
      <c r="P38" s="1">
        <v>-41.207026309271079</v>
      </c>
      <c r="S38" s="25">
        <v>0</v>
      </c>
      <c r="T38" s="1">
        <v>0</v>
      </c>
      <c r="U38" s="24">
        <v>2.366408461215992E-3</v>
      </c>
      <c r="V38" s="1">
        <v>21407.4</v>
      </c>
      <c r="W38" s="24">
        <f t="shared" si="1"/>
        <v>-2.366408461215992E-3</v>
      </c>
      <c r="X38" s="1">
        <f t="shared" si="2"/>
        <v>-21407.4</v>
      </c>
      <c r="Y38" s="1">
        <f t="shared" si="5"/>
        <v>599865.0809612046</v>
      </c>
    </row>
    <row r="39" spans="13:25" ht="16.5" customHeight="1">
      <c r="M39" s="1">
        <v>-43.459999999999994</v>
      </c>
      <c r="N39" s="1">
        <v>4.7800000000000011</v>
      </c>
      <c r="O39" s="1">
        <v>-23.22179094422221</v>
      </c>
      <c r="P39" s="1">
        <v>-37.045491295741222</v>
      </c>
      <c r="S39" s="25">
        <v>0</v>
      </c>
      <c r="T39" s="1">
        <v>0</v>
      </c>
      <c r="U39" s="24">
        <v>3.0044240319449952E-3</v>
      </c>
      <c r="V39" s="1">
        <v>21407.4</v>
      </c>
      <c r="W39" s="24">
        <f t="shared" si="1"/>
        <v>-3.0044240319449952E-3</v>
      </c>
      <c r="X39" s="1">
        <f t="shared" si="2"/>
        <v>-21407.4</v>
      </c>
      <c r="Y39" s="1">
        <f t="shared" si="5"/>
        <v>509866.265609511</v>
      </c>
    </row>
    <row r="40" spans="13:25" ht="16.5" customHeight="1">
      <c r="M40" s="1">
        <v>-43.459999999999994</v>
      </c>
      <c r="N40" s="1">
        <v>14.340000000000003</v>
      </c>
      <c r="O40" s="1">
        <v>-31.828487542288457</v>
      </c>
      <c r="P40" s="1">
        <v>-32.883956282211358</v>
      </c>
      <c r="S40" s="25">
        <v>0</v>
      </c>
      <c r="T40" s="1">
        <v>0</v>
      </c>
      <c r="U40" s="24">
        <v>3.6424396026739996E-3</v>
      </c>
      <c r="V40" s="1">
        <v>21407.4</v>
      </c>
      <c r="W40" s="24">
        <f t="shared" si="1"/>
        <v>-3.6424396026739996E-3</v>
      </c>
      <c r="X40" s="1">
        <f t="shared" si="2"/>
        <v>-21407.4</v>
      </c>
      <c r="Y40" s="1">
        <f t="shared" si="5"/>
        <v>419867.45025781757</v>
      </c>
    </row>
    <row r="41" spans="13:25" ht="16.5" customHeight="1">
      <c r="M41" s="1">
        <v>-43.459999999999994</v>
      </c>
      <c r="N41" s="1">
        <v>23.9</v>
      </c>
      <c r="O41" s="1">
        <v>-40.435184140354693</v>
      </c>
      <c r="P41" s="1">
        <v>-28.722421268681501</v>
      </c>
      <c r="S41" s="25">
        <v>0</v>
      </c>
      <c r="T41" s="1">
        <v>0</v>
      </c>
      <c r="U41" s="24">
        <v>4.2804551734030027E-3</v>
      </c>
      <c r="V41" s="1">
        <v>21407.4</v>
      </c>
      <c r="W41" s="24">
        <f t="shared" si="1"/>
        <v>-4.2804551734030027E-3</v>
      </c>
      <c r="X41" s="1">
        <f t="shared" si="2"/>
        <v>-21407.4</v>
      </c>
      <c r="Y41" s="1">
        <f t="shared" si="5"/>
        <v>329868.63490612397</v>
      </c>
    </row>
    <row r="42" spans="13:25" ht="16.5" customHeight="1">
      <c r="M42" s="1">
        <v>43.459999999999994</v>
      </c>
      <c r="N42" s="1">
        <v>-23.899999999999995</v>
      </c>
      <c r="O42" s="1">
        <v>40.435184140354693</v>
      </c>
      <c r="P42" s="1">
        <v>28.722421268681501</v>
      </c>
      <c r="S42" s="25">
        <v>1.714476050877278E-3</v>
      </c>
      <c r="T42" s="1">
        <v>16613.830239895833</v>
      </c>
      <c r="U42" s="24">
        <v>0</v>
      </c>
      <c r="V42" s="1">
        <v>0</v>
      </c>
      <c r="W42" s="24">
        <f t="shared" si="1"/>
        <v>1.714476050877278E-3</v>
      </c>
      <c r="X42" s="1">
        <f t="shared" si="2"/>
        <v>16613.830239895833</v>
      </c>
      <c r="Y42" s="1">
        <f t="shared" si="5"/>
        <v>239869.8195544304</v>
      </c>
    </row>
    <row r="43" spans="13:25" ht="16.5" customHeight="1">
      <c r="M43" s="1">
        <v>43.459999999999994</v>
      </c>
      <c r="N43" s="1">
        <v>-14.339999999999996</v>
      </c>
      <c r="O43" s="1">
        <v>31.82848754228845</v>
      </c>
      <c r="P43" s="1">
        <v>32.883956282211365</v>
      </c>
      <c r="S43" s="25">
        <v>1.0764604801466974E-3</v>
      </c>
      <c r="T43" s="1">
        <v>9979.8208973077417</v>
      </c>
      <c r="U43" s="24">
        <v>0</v>
      </c>
      <c r="V43" s="1">
        <v>0</v>
      </c>
      <c r="W43" s="24">
        <f t="shared" si="1"/>
        <v>1.0764604801466974E-3</v>
      </c>
      <c r="X43" s="1">
        <f t="shared" si="2"/>
        <v>9979.8208973077417</v>
      </c>
      <c r="Y43" s="1">
        <f>-ABS(O26*V26)</f>
        <v>-52703.85225484112</v>
      </c>
    </row>
    <row r="44" spans="13:25" ht="16.5" customHeight="1">
      <c r="M44" s="1">
        <v>43.459999999999994</v>
      </c>
      <c r="N44" s="1">
        <v>-4.7799999999999976</v>
      </c>
      <c r="O44" s="1">
        <v>23.221790944222207</v>
      </c>
      <c r="P44" s="1">
        <v>37.045491295741222</v>
      </c>
      <c r="S44" s="25">
        <v>4.3844490941611692E-4</v>
      </c>
      <c r="T44" s="1">
        <v>4558.8975547196542</v>
      </c>
      <c r="U44" s="24">
        <v>0</v>
      </c>
      <c r="V44" s="1">
        <v>0</v>
      </c>
      <c r="W44" s="24">
        <f t="shared" si="1"/>
        <v>4.3844490941611692E-4</v>
      </c>
      <c r="X44" s="1">
        <f t="shared" si="2"/>
        <v>4558.8975547196542</v>
      </c>
      <c r="Y44" s="1">
        <f>-ABS(O27*V27)</f>
        <v>-22545.044955760248</v>
      </c>
    </row>
    <row r="45" spans="13:25" ht="16.5" customHeight="1">
      <c r="M45" s="1">
        <v>43.459999999999994</v>
      </c>
      <c r="N45" s="1">
        <v>4.7800000000000011</v>
      </c>
      <c r="O45" s="1">
        <v>14.615094346155967</v>
      </c>
      <c r="P45" s="1">
        <v>41.207026309271079</v>
      </c>
      <c r="S45" s="25">
        <v>0</v>
      </c>
      <c r="T45" s="1">
        <v>0</v>
      </c>
      <c r="U45" s="24">
        <v>1.99570661306557E-4</v>
      </c>
      <c r="V45" s="1">
        <v>2075.111787786223</v>
      </c>
      <c r="W45" s="24">
        <f t="shared" si="1"/>
        <v>-1.99570661306557E-4</v>
      </c>
      <c r="X45" s="1">
        <f t="shared" si="2"/>
        <v>-2075.111787786223</v>
      </c>
      <c r="Y45" s="1">
        <f>-ABS(O36*V36)</f>
        <v>-29458.505586655236</v>
      </c>
    </row>
    <row r="46" spans="13:25" ht="16.5" customHeight="1">
      <c r="M46" s="1">
        <v>43.459999999999994</v>
      </c>
      <c r="N46" s="1">
        <v>14.340000000000003</v>
      </c>
      <c r="O46" s="1">
        <v>6.0083977480897222</v>
      </c>
      <c r="P46" s="1">
        <v>45.368561322800943</v>
      </c>
      <c r="S46" s="25">
        <v>0</v>
      </c>
      <c r="T46" s="1">
        <v>0</v>
      </c>
      <c r="U46" s="24">
        <v>8.3758623203556099E-4</v>
      </c>
      <c r="V46" s="1">
        <v>8709.1211303579203</v>
      </c>
      <c r="W46" s="24">
        <f t="shared" si="1"/>
        <v>-8.3758623203556099E-4</v>
      </c>
      <c r="X46" s="1">
        <f t="shared" si="2"/>
        <v>-8709.1211303579203</v>
      </c>
      <c r="Y46" s="1">
        <f>ABS(O37*V37)</f>
        <v>107980.65236203355</v>
      </c>
    </row>
    <row r="47" spans="13:25" ht="16.5" customHeight="1">
      <c r="M47" s="1">
        <v>43.459999999999994</v>
      </c>
      <c r="N47" s="1">
        <v>23.9</v>
      </c>
      <c r="O47" s="1">
        <v>-2.5982988499765156</v>
      </c>
      <c r="P47" s="1">
        <v>49.5300963363308</v>
      </c>
      <c r="S47" s="25">
        <v>0</v>
      </c>
      <c r="T47" s="1">
        <v>0</v>
      </c>
      <c r="U47" s="24">
        <v>1.4756018027645645E-3</v>
      </c>
      <c r="V47" s="1">
        <v>15343.130472929612</v>
      </c>
      <c r="W47" s="24">
        <f t="shared" si="1"/>
        <v>-1.4756018027645645E-3</v>
      </c>
      <c r="X47" s="1">
        <f t="shared" si="2"/>
        <v>-15343.130472929612</v>
      </c>
      <c r="Y47" s="1">
        <f t="shared" ref="Y47:Y50" si="6">ABS(O38*V38)</f>
        <v>312871.17070589936</v>
      </c>
    </row>
    <row r="48" spans="13:25" ht="16.5" customHeight="1">
      <c r="Y48" s="1">
        <f t="shared" si="6"/>
        <v>497118.16745934257</v>
      </c>
    </row>
    <row r="49" spans="25:25" ht="16.5" customHeight="1">
      <c r="Y49" s="1">
        <f t="shared" si="6"/>
        <v>681365.16421278601</v>
      </c>
    </row>
    <row r="50" spans="25:25" ht="16.5" customHeight="1">
      <c r="Y50" s="1">
        <f t="shared" si="6"/>
        <v>865612.16096622916</v>
      </c>
    </row>
    <row r="51" spans="25:25" ht="16.5" customHeight="1">
      <c r="Y51" s="1">
        <f>-ABS(O45*V45)</f>
        <v>-30327.954557316029</v>
      </c>
    </row>
    <row r="52" spans="25:25" ht="16.5" customHeight="1">
      <c r="Y52" s="1">
        <f t="shared" ref="Y52" si="7">-ABS(O46*V46)</f>
        <v>-52327.86378748314</v>
      </c>
    </row>
    <row r="53" spans="25:25" ht="16.5" customHeight="1">
      <c r="Y53" s="1">
        <f>ABS(O47*V47)</f>
        <v>39866.038262852642</v>
      </c>
    </row>
    <row r="55" spans="25:25" ht="16.5" customHeight="1">
      <c r="Y55" s="1">
        <f>SUM(Y19:Y53)</f>
        <v>26096905.20714632</v>
      </c>
    </row>
    <row r="57" spans="25:25" ht="16.5" customHeight="1">
      <c r="Y57" s="33"/>
    </row>
  </sheetData>
  <dataConsolidate/>
  <phoneticPr fontId="1" type="noConversion"/>
  <pageMargins left="0.74803149606299213" right="0.74803149606299213" top="0.98425196850393704" bottom="0.98425196850393704" header="0.51181102362204722" footer="0.51181102362204722"/>
  <pageSetup paperSize="9" scale="28" orientation="portrait" r:id="rId1"/>
  <headerFooter alignWithMargins="0">
    <oddFooter xml:space="preserve">&amp;R&amp;"Times New Roman,標準"SRC/COL &amp;P/&amp;N
</oddFooter>
  </headerFooter>
  <rowBreaks count="1" manualBreakCount="1">
    <brk id="12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8D196-5BF8-4564-855D-FD00D7D7726C}">
  <sheetPr codeName="Sheet7"/>
  <dimension ref="A1:AA57"/>
  <sheetViews>
    <sheetView view="pageBreakPreview" zoomScale="115" zoomScaleNormal="80" zoomScaleSheetLayoutView="115" workbookViewId="0">
      <selection activeCell="F12" sqref="F12"/>
    </sheetView>
  </sheetViews>
  <sheetFormatPr defaultColWidth="8.875" defaultRowHeight="16.5" customHeight="1"/>
  <cols>
    <col min="1" max="1" width="11.125" style="1" customWidth="1"/>
    <col min="2" max="2" width="22.25" style="1" customWidth="1"/>
    <col min="3" max="3" width="16.5" style="1" customWidth="1"/>
    <col min="4" max="4" width="16.125" style="1" customWidth="1"/>
    <col min="5" max="5" width="16.125" style="2" customWidth="1"/>
    <col min="6" max="7" width="16.125" style="1" customWidth="1"/>
    <col min="8" max="8" width="20.125" style="1" customWidth="1"/>
    <col min="9" max="9" width="19.375" style="1" customWidth="1"/>
    <col min="10" max="11" width="11.875" style="1" customWidth="1"/>
    <col min="12" max="16" width="8.875" style="1" customWidth="1"/>
    <col min="17" max="17" width="10.5" style="1" bestFit="1" customWidth="1"/>
    <col min="18" max="18" width="9.5" style="1" bestFit="1" customWidth="1"/>
    <col min="19" max="19" width="9.75" style="25" bestFit="1" customWidth="1"/>
    <col min="20" max="20" width="9.5" style="1" bestFit="1" customWidth="1"/>
    <col min="21" max="21" width="9.75" style="1" bestFit="1" customWidth="1"/>
    <col min="22" max="22" width="8.875" style="1"/>
    <col min="23" max="23" width="9.25" style="1" bestFit="1" customWidth="1"/>
    <col min="24" max="24" width="10.25" style="1" bestFit="1" customWidth="1"/>
    <col min="25" max="25" width="13.875" style="1" bestFit="1" customWidth="1"/>
    <col min="26" max="26" width="9.75" style="1" bestFit="1" customWidth="1"/>
    <col min="27" max="16384" width="8.875" style="1"/>
  </cols>
  <sheetData>
    <row r="1" spans="1:27" ht="16.5" customHeight="1">
      <c r="D1" s="5"/>
      <c r="F1" s="17"/>
      <c r="G1" s="17"/>
      <c r="L1" s="3"/>
      <c r="M1" s="5"/>
      <c r="O1" s="5"/>
      <c r="R1" s="22"/>
      <c r="S1" s="21"/>
    </row>
    <row r="2" spans="1:27" ht="16.5" customHeight="1">
      <c r="C2" s="13" t="s">
        <v>2</v>
      </c>
      <c r="D2" s="1">
        <v>100</v>
      </c>
      <c r="E2" s="1"/>
      <c r="G2" s="2" t="s">
        <v>35</v>
      </c>
      <c r="H2" s="1">
        <f>-D2/2</f>
        <v>-50</v>
      </c>
      <c r="I2" s="1">
        <f>-D3/2</f>
        <v>-40</v>
      </c>
      <c r="J2" s="2" t="str">
        <f>G2&amp;"'"</f>
        <v>A'</v>
      </c>
      <c r="K2" s="1" cm="1">
        <f t="array" ref="K2:L6">coordtransformation(H2:I6,H16)</f>
        <v>-39.221251007014729</v>
      </c>
      <c r="L2" s="1">
        <v>-50.613174860353759</v>
      </c>
      <c r="R2" s="22"/>
      <c r="S2" s="21"/>
    </row>
    <row r="3" spans="1:27" ht="16.5" customHeight="1">
      <c r="C3" s="13" t="s">
        <v>10</v>
      </c>
      <c r="D3" s="1">
        <v>80</v>
      </c>
      <c r="E3" s="6"/>
      <c r="G3" s="2" t="s">
        <v>36</v>
      </c>
      <c r="H3" s="1">
        <f>D2/2</f>
        <v>50</v>
      </c>
      <c r="I3" s="1">
        <f>-D3/2</f>
        <v>-40</v>
      </c>
      <c r="J3" s="2" t="str">
        <f t="shared" ref="J3:J6" si="0">G3&amp;"'"</f>
        <v>B'</v>
      </c>
      <c r="K3" s="1">
        <v>57.988250084811781</v>
      </c>
      <c r="L3" s="1">
        <v>-27.154426013107447</v>
      </c>
      <c r="M3" s="6"/>
      <c r="N3" s="6"/>
      <c r="O3" s="26"/>
      <c r="P3" s="6"/>
      <c r="S3" s="1"/>
    </row>
    <row r="4" spans="1:27" ht="16.5" customHeight="1">
      <c r="A4" s="6"/>
      <c r="C4" s="8" t="s">
        <v>11</v>
      </c>
      <c r="D4" s="12">
        <v>10</v>
      </c>
      <c r="E4" s="1"/>
      <c r="F4" s="7"/>
      <c r="G4" s="2" t="s">
        <v>37</v>
      </c>
      <c r="H4" s="1">
        <f>D2/2</f>
        <v>50</v>
      </c>
      <c r="I4" s="1">
        <f>D3/2</f>
        <v>40</v>
      </c>
      <c r="J4" s="2" t="str">
        <f t="shared" si="0"/>
        <v>C'</v>
      </c>
      <c r="K4" s="1">
        <v>39.221251007014729</v>
      </c>
      <c r="L4" s="1">
        <v>50.613174860353759</v>
      </c>
      <c r="O4" s="12"/>
      <c r="S4" s="1"/>
    </row>
    <row r="5" spans="1:27" ht="16.5" customHeight="1">
      <c r="A5" s="6"/>
      <c r="C5" s="8" t="s">
        <v>12</v>
      </c>
      <c r="D5" s="12">
        <v>8</v>
      </c>
      <c r="E5" s="1"/>
      <c r="G5" s="37" t="s">
        <v>38</v>
      </c>
      <c r="H5" s="1">
        <f>-D2/2</f>
        <v>-50</v>
      </c>
      <c r="I5" s="1">
        <f>D3/2</f>
        <v>40</v>
      </c>
      <c r="J5" s="2" t="str">
        <f t="shared" si="0"/>
        <v>D'</v>
      </c>
      <c r="K5" s="1">
        <v>-57.988250084811781</v>
      </c>
      <c r="L5" s="1">
        <v>27.154426013107447</v>
      </c>
      <c r="O5" s="12"/>
      <c r="S5" s="1"/>
    </row>
    <row r="6" spans="1:27" s="35" customFormat="1" ht="16.5" customHeight="1">
      <c r="A6" s="6"/>
      <c r="B6" s="1"/>
      <c r="C6" s="8" t="s">
        <v>13</v>
      </c>
      <c r="D6" s="12">
        <v>0</v>
      </c>
      <c r="E6" s="1"/>
      <c r="G6" s="37" t="s">
        <v>35</v>
      </c>
      <c r="H6" s="1">
        <f>H2</f>
        <v>-50</v>
      </c>
      <c r="I6" s="1">
        <f>I2</f>
        <v>-40</v>
      </c>
      <c r="J6" s="2" t="str">
        <f t="shared" si="0"/>
        <v>A'</v>
      </c>
      <c r="K6" s="1">
        <v>-39.221251007014729</v>
      </c>
      <c r="L6" s="1">
        <v>-50.613174860353759</v>
      </c>
      <c r="R6" s="4"/>
    </row>
    <row r="7" spans="1:27" ht="16.5" customHeight="1">
      <c r="C7" s="8" t="s">
        <v>14</v>
      </c>
      <c r="D7" s="12">
        <v>0</v>
      </c>
      <c r="E7" s="1"/>
      <c r="F7" s="2"/>
      <c r="G7" s="2"/>
      <c r="O7" s="12"/>
      <c r="S7" s="1"/>
    </row>
    <row r="8" spans="1:27" ht="16.5" customHeight="1">
      <c r="C8" s="2" t="s">
        <v>15</v>
      </c>
      <c r="D8" s="12">
        <v>8</v>
      </c>
      <c r="E8" s="1" t="s">
        <v>20</v>
      </c>
      <c r="F8" s="11"/>
      <c r="G8" s="11"/>
      <c r="O8" s="12"/>
      <c r="S8" s="1"/>
    </row>
    <row r="9" spans="1:27" ht="16.5" customHeight="1">
      <c r="A9" s="9"/>
      <c r="C9" s="2" t="s">
        <v>16</v>
      </c>
      <c r="D9" s="12">
        <v>4</v>
      </c>
      <c r="E9" s="6" t="s">
        <v>20</v>
      </c>
      <c r="F9" s="2"/>
      <c r="G9" s="2"/>
      <c r="M9" s="6"/>
      <c r="N9" s="6"/>
      <c r="O9" s="26"/>
      <c r="P9" s="6"/>
      <c r="S9" s="1"/>
    </row>
    <row r="10" spans="1:27" ht="16.5" customHeight="1">
      <c r="A10" s="9"/>
      <c r="C10" s="2" t="s">
        <v>19</v>
      </c>
      <c r="D10" s="1">
        <v>4</v>
      </c>
      <c r="E10" s="1" t="s">
        <v>0</v>
      </c>
      <c r="F10" s="18"/>
      <c r="G10" s="18"/>
      <c r="L10" s="24"/>
      <c r="O10" s="12"/>
      <c r="S10" s="1"/>
    </row>
    <row r="11" spans="1:27" ht="16.5" customHeight="1">
      <c r="A11" s="9"/>
      <c r="C11" s="8" t="s">
        <v>17</v>
      </c>
      <c r="D11" s="1">
        <v>280</v>
      </c>
      <c r="E11" s="6" t="s">
        <v>1</v>
      </c>
      <c r="F11" s="18"/>
      <c r="G11" s="18"/>
      <c r="O11" s="12"/>
      <c r="S11" s="1"/>
    </row>
    <row r="12" spans="1:27" ht="16.5" customHeight="1">
      <c r="A12" s="9"/>
      <c r="C12" s="2" t="s">
        <v>18</v>
      </c>
      <c r="D12" s="1">
        <v>4200</v>
      </c>
      <c r="E12" s="6" t="s">
        <v>1</v>
      </c>
      <c r="F12" s="18"/>
      <c r="G12" s="18"/>
      <c r="N12" s="24"/>
      <c r="O12" s="12"/>
      <c r="S12" s="1"/>
    </row>
    <row r="13" spans="1:27" ht="16.5" customHeight="1">
      <c r="B13" s="8"/>
      <c r="C13" s="2"/>
      <c r="D13" s="9"/>
      <c r="E13" s="8"/>
      <c r="F13" s="18"/>
      <c r="G13" s="18"/>
      <c r="H13" s="9"/>
      <c r="I13" s="2" t="s">
        <v>30</v>
      </c>
      <c r="J13" s="38">
        <v>24.897203252888584</v>
      </c>
      <c r="K13" s="1" t="s">
        <v>0</v>
      </c>
      <c r="L13" s="6" t="s">
        <v>40</v>
      </c>
      <c r="M13" s="40">
        <f>J13*IF(D11&lt;280,0.85,IF(D11&gt;=280,0.85 - 0.05* (D11- 280) / 70,0))</f>
        <v>21.162622764955294</v>
      </c>
      <c r="N13" s="1" t="s">
        <v>0</v>
      </c>
      <c r="O13" s="12"/>
      <c r="S13" s="1"/>
    </row>
    <row r="14" spans="1:27" ht="16.5" customHeight="1">
      <c r="B14" s="2"/>
      <c r="C14" s="20"/>
      <c r="E14" s="2" t="s">
        <v>4</v>
      </c>
      <c r="F14" s="20"/>
      <c r="G14" s="20"/>
      <c r="J14" s="1" t="s">
        <v>26</v>
      </c>
      <c r="K14" s="15"/>
      <c r="L14" s="4"/>
      <c r="M14" s="16"/>
      <c r="O14" s="1" t="s">
        <v>28</v>
      </c>
      <c r="R14" s="22"/>
      <c r="S14" s="21"/>
    </row>
    <row r="15" spans="1:27" ht="16.5" customHeight="1">
      <c r="B15" s="3"/>
      <c r="C15" s="14" t="s">
        <v>3</v>
      </c>
      <c r="D15" s="10" t="s">
        <v>6</v>
      </c>
      <c r="E15" s="10" t="s">
        <v>5</v>
      </c>
      <c r="F15" s="23" t="s">
        <v>7</v>
      </c>
      <c r="G15" s="5"/>
      <c r="H15" s="3" t="s">
        <v>22</v>
      </c>
      <c r="I15" s="27" t="s">
        <v>21</v>
      </c>
      <c r="J15" s="1" t="s">
        <v>23</v>
      </c>
      <c r="K15" s="1" t="s">
        <v>24</v>
      </c>
      <c r="L15" s="1" t="s">
        <v>25</v>
      </c>
      <c r="M15" s="1" t="s">
        <v>27</v>
      </c>
      <c r="O15" s="29" t="s">
        <v>29</v>
      </c>
      <c r="Q15" s="1" t="s">
        <v>8</v>
      </c>
      <c r="S15" s="1" t="s">
        <v>9</v>
      </c>
      <c r="T15" s="12"/>
      <c r="U15" s="1" t="s">
        <v>32</v>
      </c>
      <c r="W15" s="1" t="s">
        <v>39</v>
      </c>
      <c r="Y15" s="1" t="s">
        <v>33</v>
      </c>
      <c r="Z15" s="22" t="s">
        <v>34</v>
      </c>
      <c r="AA15" s="21"/>
    </row>
    <row r="16" spans="1:27" ht="16.5" customHeight="1">
      <c r="A16" s="22"/>
      <c r="C16" s="28">
        <v>-117.7028</v>
      </c>
      <c r="D16" s="28">
        <v>49.456200000000003</v>
      </c>
      <c r="E16" s="36">
        <v>204.93899999999999</v>
      </c>
      <c r="F16" s="31" cm="1">
        <f t="array" ref="F16">PM($D$11,$D$12,$D$2,$D$3,$D$10,$D$4,$D$5,$D$6,$D$7,$D$8,$D$9,C16,ABS(D16),ABS(E16))</f>
        <v>0.99882452746337991</v>
      </c>
      <c r="H16" s="22">
        <f>PI()/2 - ATAN(ABS(E16 / D16)) + 0.0000000001</f>
        <v>0.23679419325536544</v>
      </c>
      <c r="I16" s="28">
        <f>SQRT(D16^2+E16^2)*100000</f>
        <v>21082198.518997017</v>
      </c>
      <c r="J16" s="39" cm="1">
        <f t="array" ref="J16:L16">transformedsection(D2,D3,H16)</f>
        <v>57.988250084811781</v>
      </c>
      <c r="K16" s="39">
        <v>39.221251007014729</v>
      </c>
      <c r="L16" s="39">
        <v>41.148241222035765</v>
      </c>
      <c r="M16" s="1" cm="1">
        <f t="array" ref="M16:N47">rebarcoord(D2,D3,D10,D4,D5,D6,D7,D8,D9)</f>
        <v>-43.459999999999994</v>
      </c>
      <c r="N16" s="1">
        <v>33.459999999999994</v>
      </c>
      <c r="O16" s="1" cm="1">
        <f t="array" ref="O16:P47">coordtransformation(rebarcoord(D2,D3,D10,D4,D5,D6,D7,D8,D9),H16)</f>
        <v>-50.09654653879641</v>
      </c>
      <c r="P16" s="19">
        <v>22.331126816311901</v>
      </c>
      <c r="Q16" s="30" cm="1">
        <f t="array" ref="Q16:R16">Cc(D11,J13, J16,K16,L16)</f>
        <v>230712.53705324201</v>
      </c>
      <c r="R16" s="1">
        <v>43.961038077781232</v>
      </c>
      <c r="S16" s="25" cm="1">
        <f t="array" ref="S16:T47">Cs(D11,D12,J13,J16,_xlfn.ANCHORARRAY(O16),D8)</f>
        <v>0</v>
      </c>
      <c r="T16" s="1">
        <v>0</v>
      </c>
      <c r="U16" s="24" cm="1">
        <f t="array" ref="U16:V47">Ts(D12,J13,J16,_xlfn.ANCHORARRAY(O16),D8)</f>
        <v>1.002372746753803E-2</v>
      </c>
      <c r="V16" s="1">
        <v>21407.4</v>
      </c>
      <c r="W16" s="24">
        <f>S16-U16</f>
        <v>-1.002372746753803E-2</v>
      </c>
      <c r="X16" s="1">
        <f>T16-V16</f>
        <v>-21407.4</v>
      </c>
      <c r="Y16" s="32" cm="1">
        <f t="array" ref="Y16">Mn(J13,_xlfn.ANCHORARRAY(Q16),_xlfn.ANCHORARRAY(S16),_xlfn.ANCHORARRAY(U16),D12,J16,_xlfn.ANCHORARRAY(O16))</f>
        <v>23452232.754175305</v>
      </c>
      <c r="Z16" s="34" cm="1">
        <f t="array" ref="Z16">phic(_xlfn.ANCHORARRAY(O16),_xlfn.ANCHORARRAY(U16), D12)</f>
        <v>0.9</v>
      </c>
      <c r="AA16" s="21"/>
    </row>
    <row r="17" spans="6:26" ht="16.5" customHeight="1">
      <c r="F17" s="25"/>
      <c r="M17" s="1">
        <v>-33.80222222222222</v>
      </c>
      <c r="N17" s="1">
        <v>33.459999999999994</v>
      </c>
      <c r="O17" s="1">
        <v>-40.708268944461352</v>
      </c>
      <c r="P17" s="1">
        <v>24.596720649425958</v>
      </c>
      <c r="Q17" s="3" t="s">
        <v>31</v>
      </c>
      <c r="R17" s="3" t="s">
        <v>0</v>
      </c>
      <c r="S17" s="25">
        <v>0</v>
      </c>
      <c r="T17" s="1">
        <v>0</v>
      </c>
      <c r="U17" s="24">
        <v>8.8924826246208084E-3</v>
      </c>
      <c r="V17" s="1">
        <v>21407.4</v>
      </c>
      <c r="W17" s="24">
        <f t="shared" ref="W17:X47" si="1">S17-U17</f>
        <v>-8.8924826246208084E-3</v>
      </c>
      <c r="X17" s="1">
        <f t="shared" si="1"/>
        <v>-21407.4</v>
      </c>
    </row>
    <row r="18" spans="6:26" ht="16.5" customHeight="1">
      <c r="F18" s="25"/>
      <c r="H18" s="22"/>
      <c r="J18" s="1" t="s">
        <v>26</v>
      </c>
      <c r="M18" s="1">
        <v>-24.144444444444442</v>
      </c>
      <c r="N18" s="1">
        <v>33.459999999999994</v>
      </c>
      <c r="O18" s="1">
        <v>-31.31999135012628</v>
      </c>
      <c r="P18" s="1">
        <v>26.862314482540011</v>
      </c>
      <c r="S18" s="25">
        <v>0</v>
      </c>
      <c r="T18" s="1">
        <v>0</v>
      </c>
      <c r="U18" s="24">
        <v>7.7612377817035871E-3</v>
      </c>
      <c r="V18" s="1">
        <v>21407.4</v>
      </c>
      <c r="W18" s="24">
        <f t="shared" si="1"/>
        <v>-7.7612377817035871E-3</v>
      </c>
      <c r="X18" s="1">
        <f t="shared" si="1"/>
        <v>-21407.4</v>
      </c>
    </row>
    <row r="19" spans="6:26" ht="16.5" customHeight="1">
      <c r="F19" s="25"/>
      <c r="H19" s="22"/>
      <c r="J19" s="1">
        <f>J16</f>
        <v>57.988250084811781</v>
      </c>
      <c r="K19" s="1">
        <v>0</v>
      </c>
      <c r="M19" s="1">
        <v>-14.486666666666665</v>
      </c>
      <c r="N19" s="1">
        <v>33.459999999999994</v>
      </c>
      <c r="O19" s="1">
        <v>-21.931713755791211</v>
      </c>
      <c r="P19" s="1">
        <v>29.127908315654068</v>
      </c>
      <c r="Q19" s="1" t="s">
        <v>41</v>
      </c>
      <c r="S19" s="25">
        <v>0</v>
      </c>
      <c r="T19" s="1">
        <v>0</v>
      </c>
      <c r="U19" s="24">
        <v>6.6299929387863667E-3</v>
      </c>
      <c r="V19" s="1">
        <v>21407.4</v>
      </c>
      <c r="W19" s="24">
        <f t="shared" si="1"/>
        <v>-6.6299929387863667E-3</v>
      </c>
      <c r="X19" s="1">
        <f t="shared" si="1"/>
        <v>-21407.4</v>
      </c>
      <c r="Y19" s="25"/>
      <c r="Z19" s="24"/>
    </row>
    <row r="20" spans="6:26" ht="16.5" customHeight="1">
      <c r="F20" s="25"/>
      <c r="J20" s="1">
        <f>K16</f>
        <v>39.221251007014729</v>
      </c>
      <c r="K20" s="1">
        <f>L16</f>
        <v>41.148241222035765</v>
      </c>
      <c r="M20" s="1">
        <v>-4.8288888888888906</v>
      </c>
      <c r="N20" s="1">
        <v>33.459999999999994</v>
      </c>
      <c r="O20" s="1">
        <v>-12.54343616145615</v>
      </c>
      <c r="P20" s="1">
        <v>31.393502148768121</v>
      </c>
      <c r="Q20" s="12">
        <f>Q16/100</f>
        <v>2307.1253705324202</v>
      </c>
      <c r="S20" s="25">
        <v>0</v>
      </c>
      <c r="T20" s="1">
        <v>0</v>
      </c>
      <c r="U20" s="24">
        <v>5.4987480958691454E-3</v>
      </c>
      <c r="V20" s="1">
        <v>21407.4</v>
      </c>
      <c r="W20" s="24">
        <f t="shared" si="1"/>
        <v>-5.4987480958691454E-3</v>
      </c>
      <c r="X20" s="1">
        <f t="shared" si="1"/>
        <v>-21407.4</v>
      </c>
    </row>
    <row r="21" spans="6:26" ht="16.5" customHeight="1">
      <c r="F21" s="25"/>
      <c r="J21" s="1">
        <f>-K16</f>
        <v>-39.221251007014729</v>
      </c>
      <c r="K21" s="1">
        <f>L16</f>
        <v>41.148241222035765</v>
      </c>
      <c r="M21" s="1">
        <v>4.8288888888888835</v>
      </c>
      <c r="N21" s="1">
        <v>33.459999999999994</v>
      </c>
      <c r="O21" s="1">
        <v>-3.1551585671210862</v>
      </c>
      <c r="P21" s="1">
        <v>33.659095981882174</v>
      </c>
      <c r="Q21" s="1" t="s">
        <v>41</v>
      </c>
      <c r="S21" s="25">
        <v>0</v>
      </c>
      <c r="T21" s="1">
        <v>0</v>
      </c>
      <c r="U21" s="24">
        <v>4.3675032529519242E-3</v>
      </c>
      <c r="V21" s="1">
        <v>21407.4</v>
      </c>
      <c r="W21" s="24">
        <f t="shared" si="1"/>
        <v>-4.3675032529519242E-3</v>
      </c>
      <c r="X21" s="1">
        <f t="shared" si="1"/>
        <v>-21407.4</v>
      </c>
    </row>
    <row r="22" spans="6:26" ht="16.5" customHeight="1">
      <c r="F22" s="25"/>
      <c r="J22" s="1">
        <f>-J16</f>
        <v>-57.988250084811781</v>
      </c>
      <c r="K22" s="1">
        <v>0</v>
      </c>
      <c r="M22" s="1">
        <v>14.486666666666665</v>
      </c>
      <c r="N22" s="1">
        <v>33.459999999999994</v>
      </c>
      <c r="O22" s="1">
        <v>6.2331190272139834</v>
      </c>
      <c r="P22" s="1">
        <v>35.924689814996228</v>
      </c>
      <c r="Q22" s="1">
        <f>J16-M13</f>
        <v>36.825627319856487</v>
      </c>
      <c r="R22" s="1">
        <v>0</v>
      </c>
      <c r="S22" s="25">
        <v>0</v>
      </c>
      <c r="T22" s="1">
        <v>0</v>
      </c>
      <c r="U22" s="24">
        <v>3.2362584100347025E-3</v>
      </c>
      <c r="V22" s="1">
        <v>21407.4</v>
      </c>
      <c r="W22" s="24">
        <f t="shared" si="1"/>
        <v>-3.2362584100347025E-3</v>
      </c>
      <c r="X22" s="1">
        <f t="shared" si="1"/>
        <v>-21407.4</v>
      </c>
    </row>
    <row r="23" spans="6:26" ht="16.5" customHeight="1">
      <c r="F23" s="25"/>
      <c r="J23" s="1">
        <f>-K16</f>
        <v>-39.221251007014729</v>
      </c>
      <c r="K23" s="1">
        <f>-L16</f>
        <v>-41.148241222035765</v>
      </c>
      <c r="M23" s="1">
        <v>24.144444444444431</v>
      </c>
      <c r="N23" s="1">
        <v>33.459999999999994</v>
      </c>
      <c r="O23" s="1">
        <v>15.621396621549042</v>
      </c>
      <c r="P23" s="1">
        <v>38.190283648110281</v>
      </c>
      <c r="Q23" s="1">
        <f>Q22</f>
        <v>36.825627319856487</v>
      </c>
      <c r="R23" s="12">
        <f>Q20</f>
        <v>2307.1253705324202</v>
      </c>
      <c r="S23" s="25">
        <v>0</v>
      </c>
      <c r="T23" s="1">
        <v>0</v>
      </c>
      <c r="U23" s="24">
        <v>2.1050135671174821E-3</v>
      </c>
      <c r="V23" s="1">
        <v>21407.4</v>
      </c>
      <c r="W23" s="24">
        <f t="shared" si="1"/>
        <v>-2.1050135671174821E-3</v>
      </c>
      <c r="X23" s="1">
        <f t="shared" si="1"/>
        <v>-21407.4</v>
      </c>
    </row>
    <row r="24" spans="6:26" ht="16.5" customHeight="1">
      <c r="F24" s="25"/>
      <c r="J24" s="1">
        <f>K16</f>
        <v>39.221251007014729</v>
      </c>
      <c r="K24" s="1">
        <f>-L16</f>
        <v>-41.148241222035765</v>
      </c>
      <c r="L24" s="12"/>
      <c r="M24" s="12">
        <v>33.802222222222213</v>
      </c>
      <c r="N24" s="1">
        <v>33.459999999999994</v>
      </c>
      <c r="O24" s="1">
        <v>25.009674215884115</v>
      </c>
      <c r="P24" s="1">
        <v>40.455877481224334</v>
      </c>
      <c r="Q24" s="1">
        <f>J16</f>
        <v>57.988250084811781</v>
      </c>
      <c r="R24" s="12">
        <f>Q20</f>
        <v>2307.1253705324202</v>
      </c>
      <c r="S24" s="25">
        <v>0</v>
      </c>
      <c r="T24" s="1">
        <v>0</v>
      </c>
      <c r="U24" s="24">
        <v>9.7376872420026005E-4</v>
      </c>
      <c r="V24" s="1">
        <v>10125.1303419874</v>
      </c>
      <c r="W24" s="24">
        <f t="shared" si="1"/>
        <v>-9.7376872420026005E-4</v>
      </c>
      <c r="X24" s="1">
        <f t="shared" si="1"/>
        <v>-10125.1303419874</v>
      </c>
    </row>
    <row r="25" spans="6:26" ht="16.5" customHeight="1">
      <c r="F25" s="25"/>
      <c r="J25" s="1">
        <f>J16</f>
        <v>57.988250084811781</v>
      </c>
      <c r="K25" s="1">
        <v>0</v>
      </c>
      <c r="M25" s="1">
        <v>43.459999999999994</v>
      </c>
      <c r="N25" s="1">
        <v>33.459999999999994</v>
      </c>
      <c r="O25" s="1">
        <v>34.397951810219176</v>
      </c>
      <c r="P25" s="1">
        <v>42.721471314338395</v>
      </c>
      <c r="Q25" s="1">
        <f>J16</f>
        <v>57.988250084811781</v>
      </c>
      <c r="R25" s="1">
        <v>0</v>
      </c>
      <c r="S25" s="25">
        <v>1.5747611870554391E-4</v>
      </c>
      <c r="T25" s="1">
        <v>1637.4177851660011</v>
      </c>
      <c r="U25" s="24">
        <v>0</v>
      </c>
      <c r="V25" s="1">
        <v>0</v>
      </c>
      <c r="W25" s="24">
        <f t="shared" si="1"/>
        <v>1.5747611870554391E-4</v>
      </c>
      <c r="X25" s="1">
        <f t="shared" si="1"/>
        <v>1637.4177851660011</v>
      </c>
    </row>
    <row r="26" spans="6:26" ht="16.5" customHeight="1">
      <c r="F26" s="25"/>
      <c r="I26" s="33"/>
      <c r="M26" s="1">
        <v>-43.459999999999994</v>
      </c>
      <c r="N26" s="1">
        <v>-33.459999999999994</v>
      </c>
      <c r="O26" s="1">
        <v>-34.397951810219176</v>
      </c>
      <c r="P26" s="1">
        <v>-42.721471314338395</v>
      </c>
      <c r="S26" s="25">
        <v>0</v>
      </c>
      <c r="T26" s="1">
        <v>0</v>
      </c>
      <c r="U26" s="24">
        <v>8.1321180483122594E-3</v>
      </c>
      <c r="V26" s="1">
        <v>21407.4</v>
      </c>
      <c r="W26" s="24">
        <f t="shared" si="1"/>
        <v>-8.1321180483122594E-3</v>
      </c>
      <c r="X26" s="1">
        <f t="shared" si="1"/>
        <v>-21407.4</v>
      </c>
    </row>
    <row r="27" spans="6:26" ht="16.5" customHeight="1">
      <c r="M27" s="1">
        <v>-33.80222222222222</v>
      </c>
      <c r="N27" s="1">
        <v>-33.459999999999994</v>
      </c>
      <c r="O27" s="1">
        <v>-25.009674215884122</v>
      </c>
      <c r="P27" s="1">
        <v>-40.455877481224341</v>
      </c>
      <c r="S27" s="25">
        <v>0</v>
      </c>
      <c r="T27" s="1">
        <v>0</v>
      </c>
      <c r="U27" s="24">
        <v>7.0008732053950399E-3</v>
      </c>
      <c r="V27" s="1">
        <v>21407.4</v>
      </c>
      <c r="W27" s="24">
        <f t="shared" si="1"/>
        <v>-7.0008732053950399E-3</v>
      </c>
      <c r="X27" s="1">
        <f t="shared" si="1"/>
        <v>-21407.4</v>
      </c>
    </row>
    <row r="28" spans="6:26" ht="16.5" customHeight="1">
      <c r="M28" s="1">
        <v>-24.144444444444442</v>
      </c>
      <c r="N28" s="1">
        <v>-33.459999999999994</v>
      </c>
      <c r="O28" s="1">
        <v>-15.621396621549053</v>
      </c>
      <c r="P28" s="1">
        <v>-38.190283648110281</v>
      </c>
      <c r="S28" s="25">
        <v>0</v>
      </c>
      <c r="T28" s="1">
        <v>0</v>
      </c>
      <c r="U28" s="24">
        <v>5.8696283624778177E-3</v>
      </c>
      <c r="V28" s="1">
        <v>21407.4</v>
      </c>
      <c r="W28" s="24">
        <f t="shared" si="1"/>
        <v>-5.8696283624778177E-3</v>
      </c>
      <c r="X28" s="1">
        <f t="shared" si="1"/>
        <v>-21407.4</v>
      </c>
    </row>
    <row r="29" spans="6:26" ht="16.5" customHeight="1">
      <c r="M29" s="1">
        <v>-14.486666666666665</v>
      </c>
      <c r="N29" s="1">
        <v>-33.459999999999994</v>
      </c>
      <c r="O29" s="1">
        <v>-6.2331190272139834</v>
      </c>
      <c r="P29" s="1">
        <v>-35.924689814996228</v>
      </c>
      <c r="S29" s="25">
        <v>0</v>
      </c>
      <c r="T29" s="1">
        <v>0</v>
      </c>
      <c r="U29" s="24">
        <v>4.7383835195605956E-3</v>
      </c>
      <c r="V29" s="1">
        <v>21407.4</v>
      </c>
      <c r="W29" s="24">
        <f t="shared" si="1"/>
        <v>-4.7383835195605956E-3</v>
      </c>
      <c r="X29" s="1">
        <f t="shared" si="1"/>
        <v>-21407.4</v>
      </c>
    </row>
    <row r="30" spans="6:26" ht="16.5" customHeight="1">
      <c r="M30" s="1">
        <v>-4.8288888888888906</v>
      </c>
      <c r="N30" s="1">
        <v>-33.459999999999994</v>
      </c>
      <c r="O30" s="1">
        <v>3.1551585671210791</v>
      </c>
      <c r="P30" s="1">
        <v>-33.659095981882174</v>
      </c>
      <c r="S30" s="25">
        <v>0</v>
      </c>
      <c r="T30" s="1">
        <v>0</v>
      </c>
      <c r="U30" s="24">
        <v>3.6071386766433752E-3</v>
      </c>
      <c r="V30" s="1">
        <v>21407.4</v>
      </c>
      <c r="W30" s="24">
        <f t="shared" si="1"/>
        <v>-3.6071386766433752E-3</v>
      </c>
      <c r="X30" s="1">
        <f t="shared" si="1"/>
        <v>-21407.4</v>
      </c>
    </row>
    <row r="31" spans="6:26" ht="16.5" customHeight="1">
      <c r="M31" s="1">
        <v>4.8288888888888835</v>
      </c>
      <c r="N31" s="1">
        <v>-33.459999999999994</v>
      </c>
      <c r="O31" s="1">
        <v>12.543436161456142</v>
      </c>
      <c r="P31" s="1">
        <v>-31.393502148768121</v>
      </c>
      <c r="S31" s="25">
        <v>0</v>
      </c>
      <c r="T31" s="1">
        <v>0</v>
      </c>
      <c r="U31" s="24">
        <v>2.4758938337261539E-3</v>
      </c>
      <c r="V31" s="1">
        <v>21407.4</v>
      </c>
      <c r="W31" s="24">
        <f t="shared" si="1"/>
        <v>-2.4758938337261539E-3</v>
      </c>
      <c r="X31" s="1">
        <f t="shared" si="1"/>
        <v>-21407.4</v>
      </c>
    </row>
    <row r="32" spans="6:26" ht="16.5" customHeight="1">
      <c r="M32" s="1">
        <v>14.486666666666665</v>
      </c>
      <c r="N32" s="1">
        <v>-33.459999999999994</v>
      </c>
      <c r="O32" s="1">
        <v>21.931713755791211</v>
      </c>
      <c r="P32" s="1">
        <v>-29.127908315654068</v>
      </c>
      <c r="S32" s="25">
        <v>0</v>
      </c>
      <c r="T32" s="1">
        <v>0</v>
      </c>
      <c r="U32" s="24">
        <v>1.3446489908089324E-3</v>
      </c>
      <c r="V32" s="1">
        <v>13981.498848552385</v>
      </c>
      <c r="W32" s="24">
        <f t="shared" si="1"/>
        <v>-1.3446489908089324E-3</v>
      </c>
      <c r="X32" s="1">
        <f t="shared" si="1"/>
        <v>-13981.498848552385</v>
      </c>
    </row>
    <row r="33" spans="13:24" ht="16.5" customHeight="1">
      <c r="M33" s="1">
        <v>24.144444444444431</v>
      </c>
      <c r="N33" s="1">
        <v>-33.459999999999994</v>
      </c>
      <c r="O33" s="1">
        <v>31.319991350126269</v>
      </c>
      <c r="P33" s="1">
        <v>-26.862314482540015</v>
      </c>
      <c r="S33" s="25">
        <v>0</v>
      </c>
      <c r="T33" s="1">
        <v>0</v>
      </c>
      <c r="U33" s="24">
        <v>2.1340414789171205E-4</v>
      </c>
      <c r="V33" s="1">
        <v>2218.950721280275</v>
      </c>
      <c r="W33" s="24">
        <f t="shared" si="1"/>
        <v>-2.1340414789171205E-4</v>
      </c>
      <c r="X33" s="1">
        <f t="shared" si="1"/>
        <v>-2218.950721280275</v>
      </c>
    </row>
    <row r="34" spans="13:24" ht="16.5" customHeight="1">
      <c r="M34" s="1">
        <v>33.802222222222213</v>
      </c>
      <c r="N34" s="1">
        <v>-33.459999999999994</v>
      </c>
      <c r="O34" s="1">
        <v>40.708268944461345</v>
      </c>
      <c r="P34" s="1">
        <v>-24.596720649425958</v>
      </c>
      <c r="S34" s="25">
        <v>9.1784069501714752E-4</v>
      </c>
      <c r="T34" s="1">
        <v>8330.5114059048992</v>
      </c>
      <c r="U34" s="24">
        <v>0</v>
      </c>
      <c r="V34" s="1">
        <v>0</v>
      </c>
      <c r="W34" s="24">
        <f t="shared" si="1"/>
        <v>9.1784069501714752E-4</v>
      </c>
      <c r="X34" s="1">
        <f t="shared" si="1"/>
        <v>8330.5114059048992</v>
      </c>
    </row>
    <row r="35" spans="13:24" ht="16.5" customHeight="1">
      <c r="M35" s="1">
        <v>43.459999999999994</v>
      </c>
      <c r="N35" s="1">
        <v>-33.459999999999994</v>
      </c>
      <c r="O35" s="1">
        <v>50.09654653879641</v>
      </c>
      <c r="P35" s="1">
        <v>-22.331126816311901</v>
      </c>
      <c r="S35" s="25">
        <v>2.0490855379389121E-3</v>
      </c>
      <c r="T35" s="1">
        <v>20093.059533224259</v>
      </c>
      <c r="U35" s="24">
        <v>0</v>
      </c>
      <c r="V35" s="1">
        <v>0</v>
      </c>
      <c r="W35" s="24">
        <f t="shared" si="1"/>
        <v>2.0490855379389121E-3</v>
      </c>
      <c r="X35" s="1">
        <f t="shared" si="1"/>
        <v>20093.059533224259</v>
      </c>
    </row>
    <row r="36" spans="13:24" ht="16.5" customHeight="1">
      <c r="M36" s="1">
        <v>-43.459999999999994</v>
      </c>
      <c r="N36" s="1">
        <v>-23.899999999999995</v>
      </c>
      <c r="O36" s="1">
        <v>-36.640608200015926</v>
      </c>
      <c r="P36" s="1">
        <v>-33.428243009959779</v>
      </c>
      <c r="S36" s="25">
        <v>0</v>
      </c>
      <c r="T36" s="1">
        <v>0</v>
      </c>
      <c r="U36" s="24">
        <v>8.4023479653445119E-3</v>
      </c>
      <c r="V36" s="1">
        <v>21407.4</v>
      </c>
      <c r="W36" s="24">
        <f t="shared" si="1"/>
        <v>-8.4023479653445119E-3</v>
      </c>
      <c r="X36" s="1">
        <f t="shared" si="1"/>
        <v>-21407.4</v>
      </c>
    </row>
    <row r="37" spans="13:24" ht="16.5" customHeight="1">
      <c r="M37" s="1">
        <v>-43.459999999999994</v>
      </c>
      <c r="N37" s="1">
        <v>-14.339999999999996</v>
      </c>
      <c r="O37" s="1">
        <v>-38.883264589812676</v>
      </c>
      <c r="P37" s="1">
        <v>-24.135014705581163</v>
      </c>
      <c r="S37" s="25">
        <v>0</v>
      </c>
      <c r="T37" s="1">
        <v>0</v>
      </c>
      <c r="U37" s="24">
        <v>8.6725778823767662E-3</v>
      </c>
      <c r="V37" s="1">
        <v>21407.4</v>
      </c>
      <c r="W37" s="24">
        <f t="shared" si="1"/>
        <v>-8.6725778823767662E-3</v>
      </c>
      <c r="X37" s="1">
        <f t="shared" si="1"/>
        <v>-21407.4</v>
      </c>
    </row>
    <row r="38" spans="13:24" ht="16.5" customHeight="1">
      <c r="M38" s="1">
        <v>-43.459999999999994</v>
      </c>
      <c r="N38" s="1">
        <v>-4.7799999999999976</v>
      </c>
      <c r="O38" s="1">
        <v>-41.125920979609418</v>
      </c>
      <c r="P38" s="1">
        <v>-14.841786401202551</v>
      </c>
      <c r="S38" s="25">
        <v>0</v>
      </c>
      <c r="T38" s="1">
        <v>0</v>
      </c>
      <c r="U38" s="24">
        <v>8.9428077994090187E-3</v>
      </c>
      <c r="V38" s="1">
        <v>21407.4</v>
      </c>
      <c r="W38" s="24">
        <f t="shared" si="1"/>
        <v>-8.9428077994090187E-3</v>
      </c>
      <c r="X38" s="1">
        <f t="shared" si="1"/>
        <v>-21407.4</v>
      </c>
    </row>
    <row r="39" spans="13:24" ht="16.5" customHeight="1">
      <c r="M39" s="1">
        <v>-43.459999999999994</v>
      </c>
      <c r="N39" s="1">
        <v>4.7800000000000011</v>
      </c>
      <c r="O39" s="1">
        <v>-43.368577369406168</v>
      </c>
      <c r="P39" s="1">
        <v>-5.5485580968239363</v>
      </c>
      <c r="S39" s="25">
        <v>0</v>
      </c>
      <c r="T39" s="1">
        <v>0</v>
      </c>
      <c r="U39" s="24">
        <v>9.2130377164412695E-3</v>
      </c>
      <c r="V39" s="1">
        <v>21407.4</v>
      </c>
      <c r="W39" s="24">
        <f t="shared" si="1"/>
        <v>-9.2130377164412695E-3</v>
      </c>
      <c r="X39" s="1">
        <f t="shared" si="1"/>
        <v>-21407.4</v>
      </c>
    </row>
    <row r="40" spans="13:24" ht="16.5" customHeight="1">
      <c r="M40" s="1">
        <v>-43.459999999999994</v>
      </c>
      <c r="N40" s="1">
        <v>14.340000000000003</v>
      </c>
      <c r="O40" s="1">
        <v>-45.611233759202918</v>
      </c>
      <c r="P40" s="1">
        <v>3.7446702075546803</v>
      </c>
      <c r="S40" s="25">
        <v>0</v>
      </c>
      <c r="T40" s="1">
        <v>0</v>
      </c>
      <c r="U40" s="24">
        <v>9.4832676334735255E-3</v>
      </c>
      <c r="V40" s="1">
        <v>21407.4</v>
      </c>
      <c r="W40" s="24">
        <f t="shared" si="1"/>
        <v>-9.4832676334735255E-3</v>
      </c>
      <c r="X40" s="1">
        <f t="shared" si="1"/>
        <v>-21407.4</v>
      </c>
    </row>
    <row r="41" spans="13:24" ht="16.5" customHeight="1">
      <c r="M41" s="1">
        <v>-43.459999999999994</v>
      </c>
      <c r="N41" s="1">
        <v>23.9</v>
      </c>
      <c r="O41" s="1">
        <v>-47.85389014899966</v>
      </c>
      <c r="P41" s="1">
        <v>13.037898511933291</v>
      </c>
      <c r="S41" s="25">
        <v>0</v>
      </c>
      <c r="T41" s="1">
        <v>0</v>
      </c>
      <c r="U41" s="24">
        <v>9.7534975505057762E-3</v>
      </c>
      <c r="V41" s="1">
        <v>21407.4</v>
      </c>
      <c r="W41" s="24">
        <f t="shared" si="1"/>
        <v>-9.7534975505057762E-3</v>
      </c>
      <c r="X41" s="1">
        <f t="shared" si="1"/>
        <v>-21407.4</v>
      </c>
    </row>
    <row r="42" spans="13:24" ht="16.5" customHeight="1">
      <c r="M42" s="1">
        <v>43.459999999999994</v>
      </c>
      <c r="N42" s="1">
        <v>-23.899999999999995</v>
      </c>
      <c r="O42" s="1">
        <v>47.85389014899966</v>
      </c>
      <c r="P42" s="1">
        <v>-13.037898511933287</v>
      </c>
      <c r="S42" s="25">
        <v>1.7788556209055737E-3</v>
      </c>
      <c r="T42" s="1">
        <v>17283.241283501648</v>
      </c>
      <c r="U42" s="24">
        <v>0</v>
      </c>
      <c r="V42" s="1">
        <v>0</v>
      </c>
      <c r="W42" s="24">
        <f t="shared" si="1"/>
        <v>1.7788556209055737E-3</v>
      </c>
      <c r="X42" s="1">
        <f t="shared" si="1"/>
        <v>17283.241283501648</v>
      </c>
    </row>
    <row r="43" spans="13:24" ht="16.5" customHeight="1">
      <c r="M43" s="1">
        <v>43.459999999999994</v>
      </c>
      <c r="N43" s="1">
        <v>-14.339999999999996</v>
      </c>
      <c r="O43" s="1">
        <v>45.611233759202911</v>
      </c>
      <c r="P43" s="1">
        <v>-3.7446702075546732</v>
      </c>
      <c r="S43" s="25">
        <v>1.508625703872235E-3</v>
      </c>
      <c r="T43" s="1">
        <v>14473.423033779036</v>
      </c>
      <c r="U43" s="24">
        <v>0</v>
      </c>
      <c r="V43" s="1">
        <v>0</v>
      </c>
      <c r="W43" s="24">
        <f t="shared" si="1"/>
        <v>1.508625703872235E-3</v>
      </c>
      <c r="X43" s="1">
        <f t="shared" si="1"/>
        <v>14473.423033779036</v>
      </c>
    </row>
    <row r="44" spans="13:24" ht="16.5" customHeight="1">
      <c r="M44" s="1">
        <v>43.459999999999994</v>
      </c>
      <c r="N44" s="1">
        <v>-4.7799999999999976</v>
      </c>
      <c r="O44" s="1">
        <v>43.368577369406168</v>
      </c>
      <c r="P44" s="1">
        <v>5.5485580968239399</v>
      </c>
      <c r="S44" s="25">
        <v>1.2383957868388974E-3</v>
      </c>
      <c r="T44" s="1">
        <v>11663.604784056437</v>
      </c>
      <c r="U44" s="24">
        <v>0</v>
      </c>
      <c r="V44" s="1">
        <v>0</v>
      </c>
      <c r="W44" s="24">
        <f t="shared" si="1"/>
        <v>1.2383957868388974E-3</v>
      </c>
      <c r="X44" s="1">
        <f t="shared" si="1"/>
        <v>11663.604784056437</v>
      </c>
    </row>
    <row r="45" spans="13:24" ht="16.5" customHeight="1">
      <c r="M45" s="1">
        <v>43.459999999999994</v>
      </c>
      <c r="N45" s="1">
        <v>4.7800000000000011</v>
      </c>
      <c r="O45" s="1">
        <v>41.125920979609418</v>
      </c>
      <c r="P45" s="1">
        <v>14.841786401202555</v>
      </c>
      <c r="S45" s="25">
        <v>9.6816586980555874E-4</v>
      </c>
      <c r="T45" s="1">
        <v>8853.7865343338235</v>
      </c>
      <c r="U45" s="24">
        <v>0</v>
      </c>
      <c r="V45" s="1">
        <v>0</v>
      </c>
      <c r="W45" s="24">
        <f t="shared" si="1"/>
        <v>9.6816586980555874E-4</v>
      </c>
      <c r="X45" s="1">
        <f t="shared" si="1"/>
        <v>8853.7865343338235</v>
      </c>
    </row>
    <row r="46" spans="13:24" ht="16.5" customHeight="1">
      <c r="M46" s="1">
        <v>43.459999999999994</v>
      </c>
      <c r="N46" s="1">
        <v>14.340000000000003</v>
      </c>
      <c r="O46" s="1">
        <v>38.883264589812669</v>
      </c>
      <c r="P46" s="1">
        <v>24.13501470558117</v>
      </c>
      <c r="S46" s="25">
        <v>6.9793595277222017E-4</v>
      </c>
      <c r="T46" s="1">
        <v>6043.9682846112128</v>
      </c>
      <c r="U46" s="24">
        <v>0</v>
      </c>
      <c r="V46" s="1">
        <v>0</v>
      </c>
      <c r="W46" s="24">
        <f t="shared" si="1"/>
        <v>6.9793595277222017E-4</v>
      </c>
      <c r="X46" s="1">
        <f t="shared" si="1"/>
        <v>6043.9682846112128</v>
      </c>
    </row>
    <row r="47" spans="13:24" ht="16.5" customHeight="1">
      <c r="M47" s="1">
        <v>43.459999999999994</v>
      </c>
      <c r="N47" s="1">
        <v>23.9</v>
      </c>
      <c r="O47" s="1">
        <v>36.640608200015926</v>
      </c>
      <c r="P47" s="1">
        <v>33.428243009959779</v>
      </c>
      <c r="S47" s="25">
        <v>4.2770603573888248E-4</v>
      </c>
      <c r="T47" s="1">
        <v>4447.2360348886114</v>
      </c>
      <c r="U47" s="24">
        <v>0</v>
      </c>
      <c r="V47" s="1">
        <v>0</v>
      </c>
      <c r="W47" s="24">
        <f t="shared" si="1"/>
        <v>4.2770603573888248E-4</v>
      </c>
      <c r="X47" s="1">
        <f t="shared" si="1"/>
        <v>4447.2360348886114</v>
      </c>
    </row>
    <row r="57" spans="25:25" ht="16.5" customHeight="1">
      <c r="Y57" s="33"/>
    </row>
  </sheetData>
  <dataConsolidate/>
  <phoneticPr fontId="1" type="noConversion"/>
  <pageMargins left="0.74803149606299213" right="0.74803149606299213" top="0.98425196850393704" bottom="0.98425196850393704" header="0.51181102362204722" footer="0.51181102362204722"/>
  <pageSetup paperSize="9" scale="28" orientation="portrait" r:id="rId1"/>
  <headerFooter alignWithMargins="0">
    <oddFooter xml:space="preserve">&amp;R&amp;"Times New Roman,標準"SRC/COL &amp;P/&amp;N
</oddFooter>
  </headerFooter>
  <rowBreaks count="1" manualBreakCount="1">
    <brk id="12" max="2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71969-5A5A-4CC9-B0BD-ADB42C2557BC}">
  <sheetPr codeName="Sheet8"/>
  <dimension ref="A1:AA57"/>
  <sheetViews>
    <sheetView view="pageBreakPreview" zoomScale="115" zoomScaleNormal="80" zoomScaleSheetLayoutView="115" workbookViewId="0">
      <selection activeCell="D12" sqref="D12"/>
    </sheetView>
  </sheetViews>
  <sheetFormatPr defaultColWidth="8.875" defaultRowHeight="16.5" customHeight="1"/>
  <cols>
    <col min="1" max="1" width="11.125" style="1" customWidth="1"/>
    <col min="2" max="2" width="22.25" style="1" customWidth="1"/>
    <col min="3" max="3" width="16.5" style="1" customWidth="1"/>
    <col min="4" max="4" width="16.125" style="1" customWidth="1"/>
    <col min="5" max="5" width="16.125" style="2" customWidth="1"/>
    <col min="6" max="7" width="16.125" style="1" customWidth="1"/>
    <col min="8" max="8" width="20.125" style="1" customWidth="1"/>
    <col min="9" max="9" width="19.375" style="1" customWidth="1"/>
    <col min="10" max="11" width="11.875" style="1" customWidth="1"/>
    <col min="12" max="16" width="8.875" style="1" customWidth="1"/>
    <col min="17" max="17" width="10.5" style="1" bestFit="1" customWidth="1"/>
    <col min="18" max="18" width="9.5" style="1" bestFit="1" customWidth="1"/>
    <col min="19" max="19" width="9.75" style="25" bestFit="1" customWidth="1"/>
    <col min="20" max="20" width="9.5" style="1" bestFit="1" customWidth="1"/>
    <col min="21" max="21" width="9.75" style="1" bestFit="1" customWidth="1"/>
    <col min="22" max="22" width="8.875" style="1"/>
    <col min="23" max="23" width="9.25" style="1" bestFit="1" customWidth="1"/>
    <col min="24" max="24" width="10.25" style="1" bestFit="1" customWidth="1"/>
    <col min="25" max="25" width="13.875" style="1" bestFit="1" customWidth="1"/>
    <col min="26" max="26" width="9.75" style="1" bestFit="1" customWidth="1"/>
    <col min="27" max="27" width="12.75" style="1" bestFit="1" customWidth="1"/>
    <col min="28" max="16384" width="8.875" style="1"/>
  </cols>
  <sheetData>
    <row r="1" spans="1:27" ht="16.5" customHeight="1">
      <c r="D1" s="5"/>
      <c r="F1" s="17"/>
      <c r="G1" s="17"/>
      <c r="L1" s="3"/>
      <c r="M1" s="5"/>
      <c r="O1" s="5"/>
      <c r="R1" s="22"/>
      <c r="S1" s="21"/>
    </row>
    <row r="2" spans="1:27" ht="16.5" customHeight="1">
      <c r="C2" s="13" t="s">
        <v>2</v>
      </c>
      <c r="D2" s="1">
        <v>100</v>
      </c>
      <c r="E2" s="1"/>
      <c r="G2" s="2" t="s">
        <v>35</v>
      </c>
      <c r="H2" s="1">
        <f>-D2/2</f>
        <v>-50</v>
      </c>
      <c r="I2" s="1">
        <f>-D3/2</f>
        <v>-40</v>
      </c>
      <c r="J2" s="2" t="str">
        <f>G2&amp;"'"</f>
        <v>A'</v>
      </c>
      <c r="K2" s="1" cm="1">
        <f t="array" ref="K2:L6">coordtransformation(H2:I6,H16)</f>
        <v>-34.881759761434985</v>
      </c>
      <c r="L2" s="1">
        <v>-53.696022533755098</v>
      </c>
      <c r="R2" s="22"/>
      <c r="S2" s="21"/>
    </row>
    <row r="3" spans="1:27" ht="16.5" customHeight="1">
      <c r="C3" s="13" t="s">
        <v>10</v>
      </c>
      <c r="D3" s="1">
        <v>80</v>
      </c>
      <c r="E3" s="6"/>
      <c r="G3" s="2" t="s">
        <v>36</v>
      </c>
      <c r="H3" s="1">
        <f>D2/2</f>
        <v>50</v>
      </c>
      <c r="I3" s="1">
        <f>-D3/2</f>
        <v>-40</v>
      </c>
      <c r="J3" s="2" t="str">
        <f t="shared" ref="J3:J6" si="0">G3&amp;"'"</f>
        <v>B'</v>
      </c>
      <c r="K3" s="1">
        <v>60.043335102515094</v>
      </c>
      <c r="L3" s="1">
        <v>-22.244053357404965</v>
      </c>
      <c r="M3" s="6"/>
      <c r="N3" s="6"/>
      <c r="O3" s="26"/>
      <c r="P3" s="6"/>
      <c r="S3" s="1"/>
    </row>
    <row r="4" spans="1:27" ht="16.5" customHeight="1">
      <c r="A4" s="6"/>
      <c r="C4" s="8" t="s">
        <v>11</v>
      </c>
      <c r="D4" s="12">
        <v>10</v>
      </c>
      <c r="E4" s="1"/>
      <c r="F4" s="7"/>
      <c r="G4" s="2" t="s">
        <v>37</v>
      </c>
      <c r="H4" s="1">
        <f>D2/2</f>
        <v>50</v>
      </c>
      <c r="I4" s="1">
        <f>D3/2</f>
        <v>40</v>
      </c>
      <c r="J4" s="2" t="str">
        <f t="shared" si="0"/>
        <v>C'</v>
      </c>
      <c r="K4" s="1">
        <v>34.881759761434985</v>
      </c>
      <c r="L4" s="1">
        <v>53.696022533755098</v>
      </c>
      <c r="O4" s="12"/>
      <c r="S4" s="1"/>
    </row>
    <row r="5" spans="1:27" ht="16.5" customHeight="1">
      <c r="A5" s="6"/>
      <c r="C5" s="8" t="s">
        <v>12</v>
      </c>
      <c r="D5" s="12">
        <v>8</v>
      </c>
      <c r="E5" s="1"/>
      <c r="G5" s="37" t="s">
        <v>38</v>
      </c>
      <c r="H5" s="1">
        <f>-D2/2</f>
        <v>-50</v>
      </c>
      <c r="I5" s="1">
        <f>D3/2</f>
        <v>40</v>
      </c>
      <c r="J5" s="2" t="str">
        <f t="shared" si="0"/>
        <v>D'</v>
      </c>
      <c r="K5" s="1">
        <v>-60.043335102515094</v>
      </c>
      <c r="L5" s="1">
        <v>22.244053357404965</v>
      </c>
      <c r="O5" s="12"/>
      <c r="S5" s="1"/>
    </row>
    <row r="6" spans="1:27" s="35" customFormat="1" ht="16.5" customHeight="1">
      <c r="A6" s="6"/>
      <c r="B6" s="1"/>
      <c r="C6" s="8" t="s">
        <v>13</v>
      </c>
      <c r="D6" s="12">
        <v>0</v>
      </c>
      <c r="E6" s="1"/>
      <c r="G6" s="37" t="s">
        <v>35</v>
      </c>
      <c r="H6" s="1">
        <f>H2</f>
        <v>-50</v>
      </c>
      <c r="I6" s="1">
        <f>I2</f>
        <v>-40</v>
      </c>
      <c r="J6" s="2" t="str">
        <f t="shared" si="0"/>
        <v>A'</v>
      </c>
      <c r="K6" s="1">
        <v>-34.881759761434985</v>
      </c>
      <c r="L6" s="1">
        <v>-53.696022533755098</v>
      </c>
      <c r="R6" s="4"/>
    </row>
    <row r="7" spans="1:27" ht="16.5" customHeight="1">
      <c r="C7" s="8" t="s">
        <v>14</v>
      </c>
      <c r="D7" s="12">
        <v>0</v>
      </c>
      <c r="E7" s="1"/>
      <c r="F7" s="2"/>
      <c r="G7" s="2"/>
      <c r="O7" s="12"/>
      <c r="S7" s="1"/>
    </row>
    <row r="8" spans="1:27" ht="16.5" customHeight="1">
      <c r="C8" s="2" t="s">
        <v>15</v>
      </c>
      <c r="D8" s="12">
        <v>8</v>
      </c>
      <c r="E8" s="1" t="s">
        <v>20</v>
      </c>
      <c r="F8" s="42"/>
      <c r="G8" s="11"/>
      <c r="O8" s="12"/>
      <c r="S8" s="1"/>
    </row>
    <row r="9" spans="1:27" ht="16.5" customHeight="1">
      <c r="A9" s="9"/>
      <c r="C9" s="2" t="s">
        <v>16</v>
      </c>
      <c r="D9" s="12">
        <v>4</v>
      </c>
      <c r="E9" s="6" t="s">
        <v>20</v>
      </c>
      <c r="F9" s="41"/>
      <c r="G9" s="2"/>
      <c r="I9" s="1">
        <v>18.331820466857806</v>
      </c>
      <c r="M9" s="6"/>
      <c r="N9" s="6"/>
      <c r="O9" s="26"/>
      <c r="P9" s="6"/>
      <c r="S9" s="1"/>
    </row>
    <row r="10" spans="1:27" ht="16.5" customHeight="1">
      <c r="A10" s="9"/>
      <c r="C10" s="2" t="s">
        <v>19</v>
      </c>
      <c r="D10" s="1">
        <v>4</v>
      </c>
      <c r="E10" s="1" t="s">
        <v>0</v>
      </c>
      <c r="F10" s="18"/>
      <c r="G10" s="18"/>
      <c r="H10" s="45">
        <f>H16/PI()*180</f>
        <v>18.331820466857806</v>
      </c>
      <c r="L10" s="24"/>
      <c r="O10" s="12"/>
      <c r="S10" s="1"/>
    </row>
    <row r="11" spans="1:27" ht="16.5" customHeight="1">
      <c r="A11" s="9"/>
      <c r="C11" s="8" t="s">
        <v>17</v>
      </c>
      <c r="D11" s="1">
        <v>280</v>
      </c>
      <c r="E11" s="6" t="s">
        <v>1</v>
      </c>
      <c r="F11" s="18"/>
      <c r="G11" s="18"/>
      <c r="O11" s="12"/>
      <c r="S11" s="1"/>
    </row>
    <row r="12" spans="1:27" ht="16.5" customHeight="1">
      <c r="A12" s="9"/>
      <c r="C12" s="2" t="s">
        <v>18</v>
      </c>
      <c r="D12" s="1">
        <v>4200</v>
      </c>
      <c r="E12" s="6" t="s">
        <v>1</v>
      </c>
      <c r="F12" s="18"/>
      <c r="G12" s="18"/>
      <c r="N12" s="24"/>
      <c r="O12" s="12"/>
      <c r="S12" s="1"/>
    </row>
    <row r="13" spans="1:27" ht="16.5" customHeight="1">
      <c r="B13" s="8"/>
      <c r="C13" s="2"/>
      <c r="D13" s="9"/>
      <c r="E13" s="8"/>
      <c r="F13" s="18"/>
      <c r="G13" s="18"/>
      <c r="H13" s="9"/>
      <c r="I13" s="2" t="s">
        <v>30</v>
      </c>
      <c r="J13" s="38">
        <v>51.683920942071907</v>
      </c>
      <c r="K13" s="1" t="s">
        <v>0</v>
      </c>
      <c r="L13" s="6" t="s">
        <v>40</v>
      </c>
      <c r="M13" s="40">
        <f>J13*IF(D11&lt;280,0.85,IF(D11&gt;=280,0.85 - 0.05* (D11- 280) / 70,0))</f>
        <v>43.931332800761119</v>
      </c>
      <c r="N13" s="1" t="s">
        <v>0</v>
      </c>
      <c r="O13" s="12"/>
      <c r="S13" s="1"/>
    </row>
    <row r="14" spans="1:27" ht="16.5" customHeight="1">
      <c r="B14" s="2"/>
      <c r="C14" s="20"/>
      <c r="E14" s="2" t="s">
        <v>4</v>
      </c>
      <c r="F14" s="20"/>
      <c r="G14" s="20"/>
      <c r="J14" s="1" t="s">
        <v>26</v>
      </c>
      <c r="K14" s="15"/>
      <c r="L14" s="4"/>
      <c r="M14" s="16"/>
      <c r="O14" s="1" t="s">
        <v>28</v>
      </c>
      <c r="R14" s="22"/>
      <c r="S14" s="21"/>
    </row>
    <row r="15" spans="1:27" ht="16.5" customHeight="1">
      <c r="B15" s="3"/>
      <c r="C15" s="14" t="s">
        <v>3</v>
      </c>
      <c r="D15" s="10" t="s">
        <v>6</v>
      </c>
      <c r="E15" s="10" t="s">
        <v>5</v>
      </c>
      <c r="F15" s="23" t="s">
        <v>7</v>
      </c>
      <c r="G15" s="5"/>
      <c r="H15" s="3" t="s">
        <v>22</v>
      </c>
      <c r="I15" s="27" t="s">
        <v>21</v>
      </c>
      <c r="J15" s="1" t="s">
        <v>23</v>
      </c>
      <c r="K15" s="1" t="s">
        <v>24</v>
      </c>
      <c r="L15" s="1" t="s">
        <v>25</v>
      </c>
      <c r="M15" s="1" t="s">
        <v>27</v>
      </c>
      <c r="O15" s="29" t="s">
        <v>29</v>
      </c>
      <c r="Q15" s="1" t="s">
        <v>8</v>
      </c>
      <c r="S15" s="1" t="s">
        <v>9</v>
      </c>
      <c r="T15" s="12"/>
      <c r="U15" s="1" t="s">
        <v>32</v>
      </c>
      <c r="W15" s="1" t="s">
        <v>39</v>
      </c>
      <c r="Y15" s="1" t="s">
        <v>33</v>
      </c>
      <c r="Z15" s="22" t="s">
        <v>34</v>
      </c>
      <c r="AA15" s="21"/>
    </row>
    <row r="16" spans="1:27" ht="16.5" customHeight="1">
      <c r="A16" s="22"/>
      <c r="C16" s="28">
        <v>378.1542</v>
      </c>
      <c r="D16" s="28">
        <v>86.423000000000002</v>
      </c>
      <c r="E16" s="36">
        <v>-260.83300000000003</v>
      </c>
      <c r="F16" s="31" cm="1">
        <f t="array" ref="F16">PM($D$11,$D$12,$D$2,$D$3,$D$10,$D$4,$D$5,$D$6,$D$7,$D$8,$D$9,C16,ABS(D16),ABS(E16))</f>
        <v>0.93276400838893747</v>
      </c>
      <c r="H16" s="22">
        <f>PI()/2-ATAN(ABS(E16/D16))+0.0000000001</f>
        <v>0.31995062503115279</v>
      </c>
      <c r="I16" s="28">
        <f>SQRT(D16^2+E16^2)*100000</f>
        <v>27477770.800776403</v>
      </c>
      <c r="J16" s="39" cm="1">
        <f t="array" ref="J16:L16">transformedsection(D2,D3,H16)</f>
        <v>60.043335102515094</v>
      </c>
      <c r="K16" s="39">
        <v>34.881759761434985</v>
      </c>
      <c r="L16" s="43">
        <v>42.138488307368618</v>
      </c>
      <c r="M16" s="1" cm="1">
        <f t="array" ref="M16:N47">rebarcoord(D2,D3,D10,D4,D5,D6,D7,D8,D9)</f>
        <v>-43.459999999999994</v>
      </c>
      <c r="N16" s="1">
        <v>33.459999999999994</v>
      </c>
      <c r="O16" s="1" cm="1">
        <f t="array" ref="O16:P47">coordtransformation(rebarcoord(D2,D3,D10,D4,D5,D6,D7,D8,D9),H16)</f>
        <v>-51.778275114279452</v>
      </c>
      <c r="P16" s="19">
        <v>18.092910937435924</v>
      </c>
      <c r="Q16" s="30" cm="1">
        <f t="array" ref="Q16:R16">Cc(D11,J13, J16,K16,L16)</f>
        <v>628826.7397958443</v>
      </c>
      <c r="R16" s="1">
        <v>32.628707436034382</v>
      </c>
      <c r="S16" s="25" cm="1">
        <f t="array" ref="S16:T47">Cs(D11,D12,J13,J16,_xlfn.ANCHORARRAY(O16),D8)</f>
        <v>0</v>
      </c>
      <c r="T16" s="1">
        <v>0</v>
      </c>
      <c r="U16" s="24" cm="1">
        <f t="array" ref="U16:V47">Ts(D12,J13,J16,_xlfn.ANCHORARRAY(O16),D8)</f>
        <v>3.4907000965683009E-3</v>
      </c>
      <c r="V16" s="1">
        <v>21407.4</v>
      </c>
      <c r="W16" s="24">
        <f>S16-U16</f>
        <v>-3.4907000965683009E-3</v>
      </c>
      <c r="X16" s="1">
        <f>T16-V16</f>
        <v>-21407.4</v>
      </c>
      <c r="Y16" s="32" cm="1">
        <f t="array" ref="Y16">Mn(J13,_xlfn.ANCHORARRAY(Q16),_xlfn.ANCHORARRAY(S16),_xlfn.ANCHORARRAY(U16),D12,J16,_xlfn.ANCHORARRAY(O16))</f>
        <v>38172962.672937609</v>
      </c>
      <c r="Z16" s="34" cm="1">
        <f t="array" ref="Z16">phic(_xlfn.ANCHORARRAY(O16),_xlfn.ANCHORARRAY(U16), D12)</f>
        <v>0.77170950820830564</v>
      </c>
      <c r="AA16" s="21"/>
    </row>
    <row r="17" spans="6:27" ht="16.5" customHeight="1">
      <c r="F17" s="25"/>
      <c r="M17" s="1">
        <v>-33.80222222222222</v>
      </c>
      <c r="N17" s="1">
        <v>33.459999999999994</v>
      </c>
      <c r="O17" s="1">
        <v>-42.610620396974412</v>
      </c>
      <c r="P17" s="1">
        <v>21.130472227222981</v>
      </c>
      <c r="Q17" s="3" t="s">
        <v>31</v>
      </c>
      <c r="R17" s="3" t="s">
        <v>0</v>
      </c>
      <c r="S17" s="25">
        <v>0</v>
      </c>
      <c r="T17" s="1">
        <v>0</v>
      </c>
      <c r="U17" s="24">
        <v>2.9585623707427465E-3</v>
      </c>
      <c r="V17" s="1">
        <v>21407.4</v>
      </c>
      <c r="W17" s="24">
        <f t="shared" ref="W17:X47" si="1">S17-U17</f>
        <v>-2.9585623707427465E-3</v>
      </c>
      <c r="X17" s="1">
        <f t="shared" si="1"/>
        <v>-21407.4</v>
      </c>
    </row>
    <row r="18" spans="6:27" ht="16.5" customHeight="1">
      <c r="F18" s="25"/>
      <c r="H18" s="22"/>
      <c r="J18" s="1" t="s">
        <v>26</v>
      </c>
      <c r="M18" s="1">
        <v>-24.144444444444442</v>
      </c>
      <c r="N18" s="1">
        <v>33.459999999999994</v>
      </c>
      <c r="O18" s="1">
        <v>-33.442965679669364</v>
      </c>
      <c r="P18" s="1">
        <v>24.168033517010041</v>
      </c>
      <c r="S18" s="25">
        <v>0</v>
      </c>
      <c r="T18" s="1">
        <v>0</v>
      </c>
      <c r="U18" s="24">
        <v>2.4264246449171912E-3</v>
      </c>
      <c r="V18" s="1">
        <v>21407.4</v>
      </c>
      <c r="W18" s="24">
        <f t="shared" si="1"/>
        <v>-2.4264246449171912E-3</v>
      </c>
      <c r="X18" s="1">
        <f t="shared" si="1"/>
        <v>-21407.4</v>
      </c>
      <c r="Z18" s="25">
        <f>ABS(MIN(W16:W47))</f>
        <v>3.4907000965683009E-3</v>
      </c>
    </row>
    <row r="19" spans="6:27" ht="16.5" customHeight="1">
      <c r="F19" s="25"/>
      <c r="H19" s="22"/>
      <c r="J19" s="1">
        <f>J16</f>
        <v>60.043335102515094</v>
      </c>
      <c r="K19" s="1">
        <v>0</v>
      </c>
      <c r="M19" s="1">
        <v>-14.486666666666665</v>
      </c>
      <c r="N19" s="1">
        <v>33.459999999999994</v>
      </c>
      <c r="O19" s="1">
        <v>-24.275310962364323</v>
      </c>
      <c r="P19" s="1">
        <v>27.205594806797102</v>
      </c>
      <c r="Q19" s="1" t="s">
        <v>41</v>
      </c>
      <c r="S19" s="25">
        <v>0</v>
      </c>
      <c r="T19" s="1">
        <v>0</v>
      </c>
      <c r="U19" s="24">
        <v>1.8942869190916364E-3</v>
      </c>
      <c r="V19" s="1">
        <v>19696.568070284546</v>
      </c>
      <c r="W19" s="24">
        <f t="shared" si="1"/>
        <v>-1.8942869190916364E-3</v>
      </c>
      <c r="X19" s="1">
        <f t="shared" si="1"/>
        <v>-19696.568070284546</v>
      </c>
      <c r="Y19" s="25">
        <f>J16-J13</f>
        <v>8.3594141604431869</v>
      </c>
      <c r="Z19" s="24">
        <f>0.65+0.25/(0.005-4200/2040000)*(Z18-4200/2040000)</f>
        <v>0.77170950820830564</v>
      </c>
    </row>
    <row r="20" spans="6:27" ht="16.5" customHeight="1">
      <c r="F20" s="25"/>
      <c r="J20" s="1">
        <f>K16</f>
        <v>34.881759761434985</v>
      </c>
      <c r="K20" s="1">
        <f>L16</f>
        <v>42.138488307368618</v>
      </c>
      <c r="M20" s="1">
        <v>-4.8288888888888906</v>
      </c>
      <c r="N20" s="1">
        <v>33.459999999999994</v>
      </c>
      <c r="O20" s="1">
        <v>-15.107656245059278</v>
      </c>
      <c r="P20" s="1">
        <v>30.243156096584158</v>
      </c>
      <c r="Q20" s="12">
        <f>Q16/100</f>
        <v>6288.2673979584433</v>
      </c>
      <c r="S20" s="25">
        <v>0</v>
      </c>
      <c r="T20" s="1">
        <v>0</v>
      </c>
      <c r="U20" s="24">
        <v>1.3621491932660813E-3</v>
      </c>
      <c r="V20" s="1">
        <v>14163.463853677522</v>
      </c>
      <c r="W20" s="24">
        <f t="shared" si="1"/>
        <v>-1.3621491932660813E-3</v>
      </c>
      <c r="X20" s="1">
        <f t="shared" si="1"/>
        <v>-14163.463853677522</v>
      </c>
    </row>
    <row r="21" spans="6:27" ht="16.5" customHeight="1">
      <c r="F21" s="25"/>
      <c r="J21" s="1">
        <f>-K16</f>
        <v>-34.881759761434985</v>
      </c>
      <c r="K21" s="1">
        <f>L16</f>
        <v>42.138488307368618</v>
      </c>
      <c r="M21" s="1">
        <v>4.8288888888888835</v>
      </c>
      <c r="N21" s="1">
        <v>33.459999999999994</v>
      </c>
      <c r="O21" s="1">
        <v>-5.9400015277542364</v>
      </c>
      <c r="P21" s="1">
        <v>33.280717386371215</v>
      </c>
      <c r="Q21" s="1" t="s">
        <v>41</v>
      </c>
      <c r="S21" s="25">
        <v>0</v>
      </c>
      <c r="T21" s="1">
        <v>0</v>
      </c>
      <c r="U21" s="24">
        <v>8.3001146744052657E-4</v>
      </c>
      <c r="V21" s="1">
        <v>8630.3596370705036</v>
      </c>
      <c r="W21" s="24">
        <f t="shared" si="1"/>
        <v>-8.3001146744052657E-4</v>
      </c>
      <c r="X21" s="1">
        <f t="shared" si="1"/>
        <v>-8630.3596370705036</v>
      </c>
      <c r="Y21" s="1">
        <f>Q16*R16</f>
        <v>20517803.720753923</v>
      </c>
      <c r="Z21" s="1" t="s">
        <v>42</v>
      </c>
      <c r="AA21" s="1">
        <f>Y55*Z19</f>
        <v>29458444.702226091</v>
      </c>
    </row>
    <row r="22" spans="6:27" ht="16.5" customHeight="1">
      <c r="F22" s="25"/>
      <c r="J22" s="1">
        <f>-J16</f>
        <v>-60.043335102515094</v>
      </c>
      <c r="K22" s="1">
        <v>0</v>
      </c>
      <c r="M22" s="1">
        <v>14.486666666666665</v>
      </c>
      <c r="N22" s="1">
        <v>33.459999999999994</v>
      </c>
      <c r="O22" s="1">
        <v>3.2276531895508125</v>
      </c>
      <c r="P22" s="1">
        <v>36.318278676158279</v>
      </c>
      <c r="Q22" s="1">
        <f>J16-M13</f>
        <v>16.112002301753975</v>
      </c>
      <c r="R22" s="1">
        <v>0</v>
      </c>
      <c r="S22" s="25">
        <v>0</v>
      </c>
      <c r="T22" s="1">
        <v>0</v>
      </c>
      <c r="U22" s="24">
        <v>2.978737416149713E-4</v>
      </c>
      <c r="V22" s="1">
        <v>3097.255420463478</v>
      </c>
      <c r="W22" s="24">
        <f t="shared" si="1"/>
        <v>-2.978737416149713E-4</v>
      </c>
      <c r="X22" s="1">
        <f t="shared" si="1"/>
        <v>-3097.255420463478</v>
      </c>
      <c r="Y22" s="1">
        <f>O23*T23</f>
        <v>30193.095842053601</v>
      </c>
      <c r="Z22" s="1" t="s">
        <v>43</v>
      </c>
      <c r="AA22" s="1">
        <f>SUM(Q16,X16:X47)*Z19</f>
        <v>405412.51646418514</v>
      </c>
    </row>
    <row r="23" spans="6:27" ht="16.5" customHeight="1">
      <c r="F23" s="25"/>
      <c r="J23" s="1">
        <f>-K16</f>
        <v>-34.881759761434985</v>
      </c>
      <c r="K23" s="1">
        <f>-L16</f>
        <v>-42.138488307368618</v>
      </c>
      <c r="M23" s="1">
        <v>24.144444444444431</v>
      </c>
      <c r="N23" s="1">
        <v>33.459999999999994</v>
      </c>
      <c r="O23" s="1">
        <v>12.395307906855848</v>
      </c>
      <c r="P23" s="1">
        <v>39.355839965945336</v>
      </c>
      <c r="Q23" s="1">
        <f>Q22</f>
        <v>16.112002301753975</v>
      </c>
      <c r="R23" s="12">
        <f>Q20</f>
        <v>6288.2673979584433</v>
      </c>
      <c r="S23" s="25">
        <v>2.3426398420523184E-4</v>
      </c>
      <c r="T23" s="1">
        <v>2435.8487960878965</v>
      </c>
      <c r="U23" s="24">
        <v>0</v>
      </c>
      <c r="V23" s="1">
        <v>0</v>
      </c>
      <c r="W23" s="24">
        <f t="shared" si="1"/>
        <v>2.3426398420523184E-4</v>
      </c>
      <c r="X23" s="1">
        <f t="shared" si="1"/>
        <v>2435.8487960878965</v>
      </c>
      <c r="Y23" s="1">
        <f t="shared" ref="Y23:Y24" si="2">O24*T24</f>
        <v>145676.50788877293</v>
      </c>
      <c r="AA23" s="25">
        <f>SQRT((C16*1000)^2+I16^2)/SQRT(AA21^2+AA22^2)</f>
        <v>0.93276379929904396</v>
      </c>
    </row>
    <row r="24" spans="6:27" ht="16.5" customHeight="1">
      <c r="F24" s="25"/>
      <c r="J24" s="1">
        <f>K16</f>
        <v>34.881759761434985</v>
      </c>
      <c r="K24" s="1">
        <f>-L16</f>
        <v>-42.138488307368618</v>
      </c>
      <c r="L24" s="12"/>
      <c r="M24" s="12">
        <v>33.802222222222213</v>
      </c>
      <c r="N24" s="1">
        <v>33.459999999999994</v>
      </c>
      <c r="O24" s="1">
        <v>21.562962624160896</v>
      </c>
      <c r="P24" s="1">
        <v>42.3934012557324</v>
      </c>
      <c r="Q24" s="1">
        <f>J16</f>
        <v>60.043335102515094</v>
      </c>
      <c r="R24" s="12">
        <f>Q20</f>
        <v>6288.2673979584433</v>
      </c>
      <c r="S24" s="25">
        <v>7.6640171003181665E-4</v>
      </c>
      <c r="T24" s="1">
        <v>6755.8670127056257</v>
      </c>
      <c r="U24" s="24">
        <v>0</v>
      </c>
      <c r="V24" s="1">
        <v>0</v>
      </c>
      <c r="W24" s="24">
        <f t="shared" si="1"/>
        <v>7.6640171003181665E-4</v>
      </c>
      <c r="X24" s="1">
        <f t="shared" si="1"/>
        <v>6755.8670127056257</v>
      </c>
      <c r="Y24" s="1">
        <f t="shared" si="2"/>
        <v>377647.67236862041</v>
      </c>
    </row>
    <row r="25" spans="6:27" ht="16.5" customHeight="1">
      <c r="F25" s="25"/>
      <c r="J25" s="1">
        <f>J16</f>
        <v>60.043335102515094</v>
      </c>
      <c r="K25" s="1">
        <v>0</v>
      </c>
      <c r="M25" s="1">
        <v>43.459999999999994</v>
      </c>
      <c r="N25" s="1">
        <v>33.459999999999994</v>
      </c>
      <c r="O25" s="1">
        <v>30.730617341465944</v>
      </c>
      <c r="P25" s="1">
        <v>45.430962545519456</v>
      </c>
      <c r="Q25" s="1">
        <f>J16</f>
        <v>60.043335102515094</v>
      </c>
      <c r="R25" s="1">
        <v>0</v>
      </c>
      <c r="S25" s="25">
        <v>1.2985394358584015E-3</v>
      </c>
      <c r="T25" s="1">
        <v>12288.971229323357</v>
      </c>
      <c r="U25" s="24">
        <v>0</v>
      </c>
      <c r="V25" s="1">
        <v>0</v>
      </c>
      <c r="W25" s="24">
        <f t="shared" si="1"/>
        <v>1.2985394358584015E-3</v>
      </c>
      <c r="X25" s="1">
        <f t="shared" si="1"/>
        <v>12288.971229323357</v>
      </c>
      <c r="Y25" s="1">
        <f>O31*T31</f>
        <v>61531.62019156044</v>
      </c>
    </row>
    <row r="26" spans="6:27" ht="16.5" customHeight="1">
      <c r="F26" s="25"/>
      <c r="I26" s="33"/>
      <c r="M26" s="1">
        <v>-43.459999999999994</v>
      </c>
      <c r="N26" s="1">
        <v>-33.459999999999994</v>
      </c>
      <c r="O26" s="1">
        <v>-30.730617341465944</v>
      </c>
      <c r="P26" s="1">
        <v>-45.430962545519456</v>
      </c>
      <c r="S26" s="25">
        <v>0</v>
      </c>
      <c r="T26" s="1">
        <v>0</v>
      </c>
      <c r="U26" s="24">
        <v>2.2689860282976309E-3</v>
      </c>
      <c r="V26" s="1">
        <v>21407.4</v>
      </c>
      <c r="W26" s="24">
        <f t="shared" si="1"/>
        <v>-2.2689860282976309E-3</v>
      </c>
      <c r="X26" s="1">
        <f t="shared" si="1"/>
        <v>-21407.4</v>
      </c>
      <c r="Y26" s="1">
        <f t="shared" ref="Y26:Y29" si="3">O32*T32</f>
        <v>203740.13249618097</v>
      </c>
    </row>
    <row r="27" spans="6:27" ht="16.5" customHeight="1">
      <c r="M27" s="1">
        <v>-33.80222222222222</v>
      </c>
      <c r="N27" s="1">
        <v>-33.459999999999994</v>
      </c>
      <c r="O27" s="1">
        <v>-21.562962624160903</v>
      </c>
      <c r="P27" s="1">
        <v>-42.3934012557324</v>
      </c>
      <c r="S27" s="25">
        <v>0</v>
      </c>
      <c r="T27" s="1">
        <v>0</v>
      </c>
      <c r="U27" s="24">
        <v>1.7368483024720763E-3</v>
      </c>
      <c r="V27" s="1">
        <v>18059.540227308353</v>
      </c>
      <c r="W27" s="24">
        <f t="shared" si="1"/>
        <v>-1.7368483024720763E-3</v>
      </c>
      <c r="X27" s="1">
        <f t="shared" si="1"/>
        <v>-18059.540227308353</v>
      </c>
      <c r="Y27" s="1">
        <f t="shared" si="3"/>
        <v>465726.70903012686</v>
      </c>
    </row>
    <row r="28" spans="6:27" ht="16.5" customHeight="1">
      <c r="M28" s="1">
        <v>-24.144444444444442</v>
      </c>
      <c r="N28" s="1">
        <v>-33.459999999999994</v>
      </c>
      <c r="O28" s="1">
        <v>-12.395307906855855</v>
      </c>
      <c r="P28" s="1">
        <v>-39.355839965945336</v>
      </c>
      <c r="S28" s="25">
        <v>0</v>
      </c>
      <c r="T28" s="1">
        <v>0</v>
      </c>
      <c r="U28" s="24">
        <v>1.204710576646521E-3</v>
      </c>
      <c r="V28" s="1">
        <v>12526.436010701329</v>
      </c>
      <c r="W28" s="24">
        <f t="shared" si="1"/>
        <v>-1.204710576646521E-3</v>
      </c>
      <c r="X28" s="1">
        <f t="shared" si="1"/>
        <v>-12526.436010701329</v>
      </c>
      <c r="Y28" s="1">
        <f t="shared" si="3"/>
        <v>829164.46350970515</v>
      </c>
    </row>
    <row r="29" spans="6:27" ht="16.5" customHeight="1">
      <c r="M29" s="1">
        <v>-14.486666666666665</v>
      </c>
      <c r="N29" s="1">
        <v>-33.459999999999994</v>
      </c>
      <c r="O29" s="1">
        <v>-3.2276531895508125</v>
      </c>
      <c r="P29" s="1">
        <v>-36.318278676158279</v>
      </c>
      <c r="S29" s="25">
        <v>0</v>
      </c>
      <c r="T29" s="1">
        <v>0</v>
      </c>
      <c r="U29" s="24">
        <v>6.7257285082096617E-4</v>
      </c>
      <c r="V29" s="1">
        <v>6993.331794094308</v>
      </c>
      <c r="W29" s="24">
        <f t="shared" si="1"/>
        <v>-6.7257285082096617E-4</v>
      </c>
      <c r="X29" s="1">
        <f t="shared" si="1"/>
        <v>-6993.331794094308</v>
      </c>
      <c r="Y29" s="1">
        <f t="shared" si="3"/>
        <v>1045626.7460361453</v>
      </c>
    </row>
    <row r="30" spans="6:27" ht="16.5" customHeight="1">
      <c r="M30" s="1">
        <v>-4.8288888888888906</v>
      </c>
      <c r="N30" s="1">
        <v>-33.459999999999994</v>
      </c>
      <c r="O30" s="1">
        <v>5.9400015277542302</v>
      </c>
      <c r="P30" s="1">
        <v>-33.280717386371222</v>
      </c>
      <c r="S30" s="25">
        <v>0</v>
      </c>
      <c r="T30" s="1">
        <v>0</v>
      </c>
      <c r="U30" s="24">
        <v>1.4043512499541124E-4</v>
      </c>
      <c r="V30" s="1">
        <v>1460.2275774872867</v>
      </c>
      <c r="W30" s="24">
        <f t="shared" si="1"/>
        <v>-1.4043512499541124E-4</v>
      </c>
      <c r="X30" s="1">
        <f t="shared" si="1"/>
        <v>-1460.2275774872867</v>
      </c>
      <c r="Y30" s="1">
        <f>O42*T42</f>
        <v>984906.31603204005</v>
      </c>
    </row>
    <row r="31" spans="6:27" ht="16.5" customHeight="1">
      <c r="M31" s="1">
        <v>4.8288888888888835</v>
      </c>
      <c r="N31" s="1">
        <v>-33.459999999999994</v>
      </c>
      <c r="O31" s="1">
        <v>15.107656245059271</v>
      </c>
      <c r="P31" s="1">
        <v>-30.243156096584162</v>
      </c>
      <c r="S31" s="25">
        <v>3.9170260082509661E-4</v>
      </c>
      <c r="T31" s="1">
        <v>4072.8766390672558</v>
      </c>
      <c r="U31" s="24">
        <v>0</v>
      </c>
      <c r="V31" s="1">
        <v>0</v>
      </c>
      <c r="W31" s="24">
        <f t="shared" si="1"/>
        <v>3.9170260082509661E-4</v>
      </c>
      <c r="X31" s="1">
        <f t="shared" si="1"/>
        <v>4072.8766390672558</v>
      </c>
      <c r="Y31" s="1">
        <f t="shared" ref="Y31:Y35" si="4">O43*T43</f>
        <v>924185.88602793473</v>
      </c>
    </row>
    <row r="32" spans="6:27" ht="16.5" customHeight="1">
      <c r="M32" s="1">
        <v>14.486666666666665</v>
      </c>
      <c r="N32" s="1">
        <v>-33.459999999999994</v>
      </c>
      <c r="O32" s="1">
        <v>24.275310962364323</v>
      </c>
      <c r="P32" s="1">
        <v>-27.205594806797102</v>
      </c>
      <c r="S32" s="25">
        <v>9.2384032665168182E-4</v>
      </c>
      <c r="T32" s="1">
        <v>8392.89485568499</v>
      </c>
      <c r="U32" s="24">
        <v>0</v>
      </c>
      <c r="V32" s="1">
        <v>0</v>
      </c>
      <c r="W32" s="24">
        <f t="shared" si="1"/>
        <v>9.2384032665168182E-4</v>
      </c>
      <c r="X32" s="1">
        <f t="shared" si="1"/>
        <v>8392.89485568499</v>
      </c>
      <c r="Y32" s="1">
        <f t="shared" si="4"/>
        <v>835828.89324349258</v>
      </c>
    </row>
    <row r="33" spans="13:25" ht="16.5" customHeight="1">
      <c r="M33" s="1">
        <v>24.144444444444431</v>
      </c>
      <c r="N33" s="1">
        <v>-33.459999999999994</v>
      </c>
      <c r="O33" s="1">
        <v>33.442965679669356</v>
      </c>
      <c r="P33" s="1">
        <v>-24.168033517010045</v>
      </c>
      <c r="S33" s="25">
        <v>1.4559780524782658E-3</v>
      </c>
      <c r="T33" s="1">
        <v>13925.999072302711</v>
      </c>
      <c r="U33" s="24">
        <v>0</v>
      </c>
      <c r="V33" s="1">
        <v>0</v>
      </c>
      <c r="W33" s="24">
        <f t="shared" si="1"/>
        <v>1.4559780524782658E-3</v>
      </c>
      <c r="X33" s="1">
        <f t="shared" si="1"/>
        <v>13925.999072302711</v>
      </c>
      <c r="Y33" s="1">
        <f t="shared" si="4"/>
        <v>704913.78987687896</v>
      </c>
    </row>
    <row r="34" spans="13:25" ht="16.5" customHeight="1">
      <c r="M34" s="1">
        <v>33.802222222222213</v>
      </c>
      <c r="N34" s="1">
        <v>-33.459999999999994</v>
      </c>
      <c r="O34" s="1">
        <v>42.610620396974404</v>
      </c>
      <c r="P34" s="1">
        <v>-21.130472227222985</v>
      </c>
      <c r="S34" s="25">
        <v>1.9881157783048506E-3</v>
      </c>
      <c r="T34" s="1">
        <v>19459.103288920443</v>
      </c>
      <c r="U34" s="24">
        <v>0</v>
      </c>
      <c r="V34" s="1">
        <v>0</v>
      </c>
      <c r="W34" s="24">
        <f t="shared" si="1"/>
        <v>1.9881157783048506E-3</v>
      </c>
      <c r="X34" s="1">
        <f t="shared" si="1"/>
        <v>19459.103288920443</v>
      </c>
      <c r="Y34" s="1">
        <f t="shared" si="4"/>
        <v>584911.88527552946</v>
      </c>
    </row>
    <row r="35" spans="13:25" ht="16.5" customHeight="1">
      <c r="M35" s="1">
        <v>43.459999999999994</v>
      </c>
      <c r="N35" s="1">
        <v>-33.459999999999994</v>
      </c>
      <c r="O35" s="1">
        <v>51.778275114279452</v>
      </c>
      <c r="P35" s="1">
        <v>-18.092910937435924</v>
      </c>
      <c r="S35" s="25">
        <v>2.5202535041314355E-3</v>
      </c>
      <c r="T35" s="1">
        <v>20194.314000000002</v>
      </c>
      <c r="U35" s="24">
        <v>0</v>
      </c>
      <c r="V35" s="1">
        <v>0</v>
      </c>
      <c r="W35" s="24">
        <f t="shared" si="1"/>
        <v>2.5202535041314355E-3</v>
      </c>
      <c r="X35" s="1">
        <f t="shared" si="1"/>
        <v>20194.314000000002</v>
      </c>
      <c r="Y35" s="1">
        <f t="shared" si="4"/>
        <v>475823.17943944305</v>
      </c>
    </row>
    <row r="36" spans="13:25" ht="16.5" customHeight="1">
      <c r="M36" s="1">
        <v>-43.459999999999994</v>
      </c>
      <c r="N36" s="1">
        <v>-23.899999999999995</v>
      </c>
      <c r="O36" s="1">
        <v>-33.737425594725018</v>
      </c>
      <c r="P36" s="1">
        <v>-36.356123476525831</v>
      </c>
      <c r="S36" s="25">
        <v>0</v>
      </c>
      <c r="T36" s="1">
        <v>0</v>
      </c>
      <c r="U36" s="24">
        <v>2.4435166094791553E-3</v>
      </c>
      <c r="V36" s="1">
        <v>21407.4</v>
      </c>
      <c r="W36" s="24">
        <f t="shared" si="1"/>
        <v>-2.4435166094791553E-3</v>
      </c>
      <c r="X36" s="1">
        <f t="shared" si="1"/>
        <v>-21407.4</v>
      </c>
      <c r="Y36" s="1">
        <f>-O16*V16</f>
        <v>1108438.246681426</v>
      </c>
    </row>
    <row r="37" spans="13:25" ht="16.5" customHeight="1">
      <c r="M37" s="1">
        <v>-43.459999999999994</v>
      </c>
      <c r="N37" s="1">
        <v>-14.339999999999996</v>
      </c>
      <c r="O37" s="1">
        <v>-36.744233847984091</v>
      </c>
      <c r="P37" s="1">
        <v>-27.281284407532205</v>
      </c>
      <c r="S37" s="25">
        <v>0</v>
      </c>
      <c r="T37" s="1">
        <v>0</v>
      </c>
      <c r="U37" s="24">
        <v>2.6180471906606796E-3</v>
      </c>
      <c r="V37" s="1">
        <v>21407.4</v>
      </c>
      <c r="W37" s="24">
        <f t="shared" si="1"/>
        <v>-2.6180471906606796E-3</v>
      </c>
      <c r="X37" s="1">
        <f t="shared" si="1"/>
        <v>-21407.4</v>
      </c>
      <c r="Y37" s="1">
        <f t="shared" ref="Y37:Y42" si="5">-O17*V17</f>
        <v>912182.59508619003</v>
      </c>
    </row>
    <row r="38" spans="13:25" ht="16.5" customHeight="1">
      <c r="M38" s="1">
        <v>-43.459999999999994</v>
      </c>
      <c r="N38" s="1">
        <v>-4.7799999999999976</v>
      </c>
      <c r="O38" s="1">
        <v>-39.751042101243165</v>
      </c>
      <c r="P38" s="1">
        <v>-18.206445338538579</v>
      </c>
      <c r="S38" s="25">
        <v>0</v>
      </c>
      <c r="T38" s="1">
        <v>0</v>
      </c>
      <c r="U38" s="24">
        <v>2.7925777718422039E-3</v>
      </c>
      <c r="V38" s="1">
        <v>21407.4</v>
      </c>
      <c r="W38" s="24">
        <f t="shared" si="1"/>
        <v>-2.7925777718422039E-3</v>
      </c>
      <c r="X38" s="1">
        <f t="shared" si="1"/>
        <v>-21407.4</v>
      </c>
      <c r="Y38" s="1">
        <f t="shared" si="5"/>
        <v>715926.943490954</v>
      </c>
    </row>
    <row r="39" spans="13:25" ht="16.5" customHeight="1">
      <c r="M39" s="1">
        <v>-43.459999999999994</v>
      </c>
      <c r="N39" s="1">
        <v>4.7800000000000011</v>
      </c>
      <c r="O39" s="1">
        <v>-42.757850354502239</v>
      </c>
      <c r="P39" s="1">
        <v>-9.1316062695449531</v>
      </c>
      <c r="S39" s="25">
        <v>0</v>
      </c>
      <c r="T39" s="1">
        <v>0</v>
      </c>
      <c r="U39" s="24">
        <v>2.9671083530237283E-3</v>
      </c>
      <c r="V39" s="1">
        <v>21407.4</v>
      </c>
      <c r="W39" s="24">
        <f t="shared" si="1"/>
        <v>-2.9671083530237283E-3</v>
      </c>
      <c r="X39" s="1">
        <f t="shared" si="1"/>
        <v>-21407.4</v>
      </c>
      <c r="Y39" s="1">
        <f t="shared" si="5"/>
        <v>478140.3147975335</v>
      </c>
    </row>
    <row r="40" spans="13:25" ht="16.5" customHeight="1">
      <c r="M40" s="1">
        <v>-43.459999999999994</v>
      </c>
      <c r="N40" s="1">
        <v>14.340000000000003</v>
      </c>
      <c r="O40" s="1">
        <v>-45.764658607761305</v>
      </c>
      <c r="P40" s="1">
        <v>-5.6767200551323782E-2</v>
      </c>
      <c r="S40" s="25">
        <v>0</v>
      </c>
      <c r="T40" s="1">
        <v>0</v>
      </c>
      <c r="U40" s="24">
        <v>3.1416389342052522E-3</v>
      </c>
      <c r="V40" s="1">
        <v>21407.4</v>
      </c>
      <c r="W40" s="24">
        <f t="shared" si="1"/>
        <v>-3.1416389342052522E-3</v>
      </c>
      <c r="X40" s="1">
        <f t="shared" si="1"/>
        <v>-21407.4</v>
      </c>
      <c r="Y40" s="1">
        <f t="shared" si="5"/>
        <v>213976.74314068258</v>
      </c>
    </row>
    <row r="41" spans="13:25" ht="16.5" customHeight="1">
      <c r="M41" s="1">
        <v>-43.459999999999994</v>
      </c>
      <c r="N41" s="1">
        <v>23.9</v>
      </c>
      <c r="O41" s="1">
        <v>-48.771466861020379</v>
      </c>
      <c r="P41" s="1">
        <v>9.0180718684423002</v>
      </c>
      <c r="S41" s="25">
        <v>0</v>
      </c>
      <c r="T41" s="1">
        <v>0</v>
      </c>
      <c r="U41" s="24">
        <v>3.3161695153867765E-3</v>
      </c>
      <c r="V41" s="1">
        <v>21407.4</v>
      </c>
      <c r="W41" s="24">
        <f t="shared" si="1"/>
        <v>-3.3161695153867765E-3</v>
      </c>
      <c r="X41" s="1">
        <f t="shared" si="1"/>
        <v>-21407.4</v>
      </c>
      <c r="Y41" s="1">
        <f t="shared" si="5"/>
        <v>51264.349429267291</v>
      </c>
    </row>
    <row r="42" spans="13:25" ht="16.5" customHeight="1">
      <c r="M42" s="1">
        <v>43.459999999999994</v>
      </c>
      <c r="N42" s="1">
        <v>-23.899999999999995</v>
      </c>
      <c r="O42" s="1">
        <v>48.771466861020379</v>
      </c>
      <c r="P42" s="1">
        <v>-9.0180718684422967</v>
      </c>
      <c r="S42" s="25">
        <v>2.3457229229495733E-3</v>
      </c>
      <c r="T42" s="1">
        <v>20194.314000000002</v>
      </c>
      <c r="U42" s="24">
        <v>0</v>
      </c>
      <c r="V42" s="1">
        <v>0</v>
      </c>
      <c r="W42" s="24">
        <f t="shared" si="1"/>
        <v>2.3457229229495733E-3</v>
      </c>
      <c r="X42" s="1">
        <f t="shared" si="1"/>
        <v>20194.314000000002</v>
      </c>
      <c r="Y42" s="1">
        <f t="shared" si="5"/>
        <v>-9996.8663367124882</v>
      </c>
    </row>
    <row r="43" spans="13:25" ht="16.5" customHeight="1">
      <c r="M43" s="1">
        <v>43.459999999999994</v>
      </c>
      <c r="N43" s="1">
        <v>-14.339999999999996</v>
      </c>
      <c r="O43" s="1">
        <v>45.764658607761305</v>
      </c>
      <c r="P43" s="1">
        <v>5.6767200551330887E-2</v>
      </c>
      <c r="S43" s="25">
        <v>2.1711923417677111E-3</v>
      </c>
      <c r="T43" s="1">
        <v>20194.314000000002</v>
      </c>
      <c r="U43" s="24">
        <v>0</v>
      </c>
      <c r="V43" s="1">
        <v>0</v>
      </c>
      <c r="W43" s="24">
        <f t="shared" si="1"/>
        <v>2.1711923417677111E-3</v>
      </c>
      <c r="X43" s="1">
        <f t="shared" si="1"/>
        <v>20194.314000000002</v>
      </c>
      <c r="Y43" s="1">
        <f>-O26*V26</f>
        <v>657862.61767569813</v>
      </c>
    </row>
    <row r="44" spans="13:25" ht="16.5" customHeight="1">
      <c r="M44" s="1">
        <v>43.459999999999994</v>
      </c>
      <c r="N44" s="1">
        <v>-4.7799999999999976</v>
      </c>
      <c r="O44" s="1">
        <v>42.757850354502231</v>
      </c>
      <c r="P44" s="1">
        <v>9.1316062695449567</v>
      </c>
      <c r="S44" s="25">
        <v>1.9966617605858493E-3</v>
      </c>
      <c r="T44" s="1">
        <v>19547.963387160391</v>
      </c>
      <c r="U44" s="24">
        <v>0</v>
      </c>
      <c r="V44" s="1">
        <v>0</v>
      </c>
      <c r="W44" s="24">
        <f t="shared" si="1"/>
        <v>1.9966617605858493E-3</v>
      </c>
      <c r="X44" s="1">
        <f t="shared" si="1"/>
        <v>19547.963387160391</v>
      </c>
      <c r="Y44" s="1">
        <f t="shared" ref="Y44:Y47" si="6">-O27*V27</f>
        <v>389417.19093098032</v>
      </c>
    </row>
    <row r="45" spans="13:25" ht="16.5" customHeight="1">
      <c r="M45" s="1">
        <v>43.459999999999994</v>
      </c>
      <c r="N45" s="1">
        <v>4.7800000000000011</v>
      </c>
      <c r="O45" s="1">
        <v>39.751042101243158</v>
      </c>
      <c r="P45" s="1">
        <v>18.206445338538582</v>
      </c>
      <c r="S45" s="25">
        <v>1.8221311794039872E-3</v>
      </c>
      <c r="T45" s="1">
        <v>17733.215347701131</v>
      </c>
      <c r="U45" s="24">
        <v>0</v>
      </c>
      <c r="V45" s="1">
        <v>0</v>
      </c>
      <c r="W45" s="24">
        <f t="shared" si="1"/>
        <v>1.8221311794039872E-3</v>
      </c>
      <c r="X45" s="1">
        <f t="shared" si="1"/>
        <v>17733.215347701131</v>
      </c>
      <c r="Y45" s="1">
        <f t="shared" si="6"/>
        <v>155269.03132817009</v>
      </c>
    </row>
    <row r="46" spans="13:25" ht="16.5" customHeight="1">
      <c r="M46" s="1">
        <v>43.459999999999994</v>
      </c>
      <c r="N46" s="1">
        <v>14.340000000000003</v>
      </c>
      <c r="O46" s="1">
        <v>36.744233847984091</v>
      </c>
      <c r="P46" s="1">
        <v>27.281284407532212</v>
      </c>
      <c r="S46" s="25">
        <v>1.6476005982221256E-3</v>
      </c>
      <c r="T46" s="1">
        <v>15918.467308241878</v>
      </c>
      <c r="U46" s="24">
        <v>0</v>
      </c>
      <c r="V46" s="1">
        <v>0</v>
      </c>
      <c r="W46" s="24">
        <f t="shared" si="1"/>
        <v>1.6476005982221256E-3</v>
      </c>
      <c r="X46" s="1">
        <f t="shared" si="1"/>
        <v>15918.467308241878</v>
      </c>
      <c r="Y46" s="1">
        <f t="shared" si="6"/>
        <v>22572.049670795597</v>
      </c>
    </row>
    <row r="47" spans="13:25" ht="16.5" customHeight="1">
      <c r="M47" s="1">
        <v>43.459999999999994</v>
      </c>
      <c r="N47" s="1">
        <v>23.9</v>
      </c>
      <c r="O47" s="1">
        <v>33.737425594725018</v>
      </c>
      <c r="P47" s="1">
        <v>36.356123476525838</v>
      </c>
      <c r="S47" s="25">
        <v>1.4730700170402634E-3</v>
      </c>
      <c r="T47" s="1">
        <v>14103.719268782615</v>
      </c>
      <c r="U47" s="24">
        <v>0</v>
      </c>
      <c r="V47" s="1">
        <v>0</v>
      </c>
      <c r="W47" s="24">
        <f t="shared" si="1"/>
        <v>1.4730700170402634E-3</v>
      </c>
      <c r="X47" s="1">
        <f t="shared" si="1"/>
        <v>14103.719268782615</v>
      </c>
      <c r="Y47" s="1">
        <f t="shared" si="6"/>
        <v>-8673.754041143342</v>
      </c>
    </row>
    <row r="48" spans="13:25" ht="16.5" customHeight="1">
      <c r="Y48" s="1">
        <f>-O36*V36</f>
        <v>722230.56467651634</v>
      </c>
    </row>
    <row r="49" spans="25:25" ht="16.5" customHeight="1">
      <c r="Y49" s="1">
        <f t="shared" ref="Y49:Y53" si="7">-O37*V37</f>
        <v>786598.51167733467</v>
      </c>
    </row>
    <row r="50" spans="25:25" ht="16.5" customHeight="1">
      <c r="Y50" s="1">
        <f t="shared" si="7"/>
        <v>850966.45867815299</v>
      </c>
    </row>
    <row r="51" spans="25:25" ht="16.5" customHeight="1">
      <c r="Y51" s="1">
        <f t="shared" si="7"/>
        <v>915334.40567897132</v>
      </c>
    </row>
    <row r="52" spans="25:25" ht="16.5" customHeight="1">
      <c r="Y52" s="1">
        <f t="shared" si="7"/>
        <v>979702.35267978942</v>
      </c>
    </row>
    <row r="53" spans="25:25" ht="16.5" customHeight="1">
      <c r="Y53" s="1">
        <f t="shared" si="7"/>
        <v>1044070.2996806077</v>
      </c>
    </row>
    <row r="55" spans="25:25" ht="16.5" customHeight="1">
      <c r="Y55" s="1">
        <f>SUM(Y19:Y53)</f>
        <v>38172971.032351784</v>
      </c>
    </row>
    <row r="56" spans="25:25" ht="16.5" customHeight="1">
      <c r="Y56" s="44"/>
    </row>
    <row r="57" spans="25:25" ht="16.5" customHeight="1">
      <c r="Y57" s="33"/>
    </row>
  </sheetData>
  <dataConsolidate/>
  <phoneticPr fontId="1" type="noConversion"/>
  <pageMargins left="0.74803149606299213" right="0.74803149606299213" top="0.98425196850393704" bottom="0.98425196850393704" header="0.51181102362204722" footer="0.51181102362204722"/>
  <pageSetup paperSize="9" scale="28" orientation="portrait" r:id="rId1"/>
  <headerFooter alignWithMargins="0">
    <oddFooter xml:space="preserve">&amp;R&amp;"Times New Roman,標準"SRC/COL &amp;P/&amp;N
</oddFooter>
  </headerFooter>
  <rowBreaks count="1" manualBreakCount="1">
    <brk id="12" max="2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對的示範例1</vt:lpstr>
      <vt:lpstr>對的示範例2</vt:lpstr>
      <vt:lpstr>對的示範例3</vt:lpstr>
      <vt:lpstr>對的示範例1!Print_Area</vt:lpstr>
      <vt:lpstr>對的示範例2!Print_Area</vt:lpstr>
      <vt:lpstr>對的示範例3!Print_Area</vt:lpstr>
    </vt:vector>
  </TitlesOfParts>
  <Company>超偉工程顧問有限公司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Y.J. Chen(C.M.Wang modify)</dc:creator>
  <cp:lastModifiedBy>User</cp:lastModifiedBy>
  <cp:lastPrinted>2019-06-02T15:31:22Z</cp:lastPrinted>
  <dcterms:created xsi:type="dcterms:W3CDTF">1998-04-20T11:10:41Z</dcterms:created>
  <dcterms:modified xsi:type="dcterms:W3CDTF">2023-07-11T13:56:39Z</dcterms:modified>
</cp:coreProperties>
</file>